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35" windowHeight="9300" tabRatio="10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Sheet1!$A$2:$N$153</definedName>
    <definedName name="_xlnm.Print_Area" localSheetId="2">Sheet3!$C$1:$K$20</definedName>
  </definedNames>
  <calcPr calcId="124519"/>
</workbook>
</file>

<file path=xl/calcChain.xml><?xml version="1.0" encoding="utf-8"?>
<calcChain xmlns="http://schemas.openxmlformats.org/spreadsheetml/2006/main">
  <c r="J15" i="1"/>
  <c r="L47"/>
  <c r="K14"/>
  <c r="I15"/>
  <c r="K114" i="3"/>
  <c r="D16" i="1"/>
  <c r="M80"/>
  <c r="L79"/>
  <c r="M78"/>
  <c r="L77"/>
  <c r="M76"/>
  <c r="L75"/>
  <c r="M74"/>
  <c r="L73"/>
  <c r="M70"/>
  <c r="L69"/>
  <c r="M68"/>
  <c r="L67"/>
  <c r="M66"/>
  <c r="L65"/>
  <c r="M64"/>
  <c r="L63"/>
  <c r="M62"/>
  <c r="L61"/>
  <c r="M60"/>
  <c r="L59"/>
  <c r="M58"/>
  <c r="L57"/>
  <c r="M56"/>
  <c r="L55"/>
  <c r="M54"/>
  <c r="L53"/>
  <c r="M52"/>
  <c r="L51"/>
  <c r="M50"/>
  <c r="L49"/>
  <c r="M48"/>
  <c r="M46"/>
  <c r="L45"/>
  <c r="M44"/>
  <c r="L43"/>
  <c r="M42"/>
  <c r="L41"/>
  <c r="M40"/>
  <c r="L39"/>
  <c r="M38"/>
  <c r="L37"/>
  <c r="M33"/>
  <c r="L32"/>
  <c r="M31"/>
  <c r="L30"/>
  <c r="M29"/>
  <c r="L28"/>
  <c r="M27"/>
  <c r="L26"/>
  <c r="M25"/>
  <c r="L24"/>
  <c r="M23"/>
  <c r="L22"/>
  <c r="M21"/>
  <c r="L20"/>
  <c r="N67" l="1"/>
  <c r="N73"/>
  <c r="N59"/>
  <c r="N22"/>
  <c r="N69"/>
  <c r="M99" l="1"/>
  <c r="L98"/>
  <c r="M97"/>
  <c r="L96"/>
  <c r="M95"/>
  <c r="L94"/>
  <c r="M93"/>
  <c r="L92"/>
  <c r="M91"/>
  <c r="L90"/>
  <c r="M89"/>
  <c r="L88"/>
  <c r="M87"/>
  <c r="L86"/>
  <c r="M83"/>
  <c r="L82"/>
  <c r="N82" l="1"/>
  <c r="M85"/>
  <c r="L84"/>
  <c r="N84" l="1"/>
  <c r="K13"/>
  <c r="D102"/>
  <c r="J102"/>
  <c r="I102"/>
  <c r="H102"/>
  <c r="G102"/>
  <c r="F102"/>
  <c r="E102"/>
  <c r="G56" i="3"/>
  <c r="N79" i="1" l="1"/>
  <c r="N63"/>
  <c r="N37"/>
  <c r="N39"/>
  <c r="N41"/>
  <c r="N43"/>
  <c r="N75"/>
  <c r="N77"/>
  <c r="M101"/>
  <c r="M102" s="1"/>
  <c r="L100"/>
  <c r="L102" s="1"/>
  <c r="C16"/>
  <c r="C71" l="1"/>
  <c r="M12" s="1"/>
  <c r="K40" i="3"/>
  <c r="J36" i="2"/>
  <c r="N49" i="1" l="1"/>
  <c r="N90" l="1"/>
  <c r="E15" l="1"/>
  <c r="N92" l="1"/>
  <c r="N47" l="1"/>
  <c r="G105" l="1"/>
  <c r="N61"/>
  <c r="N98"/>
  <c r="N57" l="1"/>
  <c r="N45"/>
  <c r="G106" l="1"/>
  <c r="N96"/>
  <c r="N53"/>
  <c r="N100"/>
  <c r="N94" l="1"/>
  <c r="N65" l="1"/>
  <c r="N55"/>
  <c r="N32" l="1"/>
  <c r="E13" l="1"/>
  <c r="N30" l="1"/>
  <c r="N86"/>
  <c r="E12" l="1"/>
  <c r="E14"/>
  <c r="E11"/>
  <c r="E16" l="1"/>
  <c r="N24"/>
  <c r="N88"/>
  <c r="C81" l="1"/>
  <c r="M14" s="1"/>
  <c r="F30" i="2"/>
  <c r="N31"/>
  <c r="K11" i="1" l="1"/>
  <c r="N26" l="1"/>
  <c r="N20" l="1"/>
  <c r="N51" l="1"/>
  <c r="K12"/>
  <c r="K15" s="1"/>
  <c r="N28" l="1"/>
  <c r="N102" s="1"/>
  <c r="C17" l="1"/>
  <c r="M10" s="1"/>
  <c r="G107"/>
</calcChain>
</file>

<file path=xl/comments1.xml><?xml version="1.0" encoding="utf-8"?>
<comments xmlns="http://schemas.openxmlformats.org/spreadsheetml/2006/main">
  <authors>
    <author>Platershop-51</author>
  </authors>
  <commentList>
    <comment ref="G12" authorId="0">
      <text>
        <r>
          <rPr>
            <b/>
            <sz val="8"/>
            <color indexed="81"/>
            <rFont val="Tahoma"/>
            <family val="2"/>
          </rPr>
          <t>Platershop-51: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8" authorId="0">
      <text>
        <r>
          <rPr>
            <b/>
            <sz val="8"/>
            <color indexed="81"/>
            <rFont val="Tahoma"/>
            <family val="2"/>
          </rPr>
          <t>Platershop-51: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<sst xmlns="http://schemas.openxmlformats.org/spreadsheetml/2006/main" count="303" uniqueCount="151">
  <si>
    <t>µt bs</t>
  </si>
  <si>
    <t>c`ex</t>
  </si>
  <si>
    <t>‡gvU</t>
  </si>
  <si>
    <t>Dcw¯’wZ</t>
  </si>
  <si>
    <t>Abycw¯’wZ</t>
  </si>
  <si>
    <t>1|</t>
  </si>
  <si>
    <t>2|</t>
  </si>
  <si>
    <t>Pzw³wfwËK Kg©KZ©v</t>
  </si>
  <si>
    <t>3|</t>
  </si>
  <si>
    <t>‡gvU=</t>
  </si>
  <si>
    <t>¯’vqx kªwgK</t>
  </si>
  <si>
    <t>A¯’vqx kªwgK</t>
  </si>
  <si>
    <t>4|</t>
  </si>
  <si>
    <t xml:space="preserve">weÑwkdU A¯’vqx kªwgK </t>
  </si>
  <si>
    <t>we-wkdU</t>
  </si>
  <si>
    <t>wdUvi</t>
  </si>
  <si>
    <t>I‡qìvi</t>
  </si>
  <si>
    <t>M¨vm KvUvi</t>
  </si>
  <si>
    <t>‡gwkbg¨vb</t>
  </si>
  <si>
    <t>wmGbwm</t>
  </si>
  <si>
    <t>kc</t>
  </si>
  <si>
    <t>Ab¨vb¨ kc</t>
  </si>
  <si>
    <t>Ab¨vb¨ kc=</t>
  </si>
  <si>
    <t>Re bs</t>
  </si>
  <si>
    <t xml:space="preserve">weÑwkdU  ¯’vqx kªwgK </t>
  </si>
  <si>
    <t xml:space="preserve">Kg©KZ©v I Kg©Pvix </t>
  </si>
  <si>
    <t>‡cÖiKt IAvBwm, ‡cøUvikc</t>
  </si>
  <si>
    <t>‡cøUvikc=</t>
  </si>
  <si>
    <t>‡cøUvikc</t>
  </si>
  <si>
    <t>cÖ¯‘ZKviK</t>
  </si>
  <si>
    <t>IAvBwm, †cøUvikc</t>
  </si>
  <si>
    <t xml:space="preserve"> </t>
  </si>
  <si>
    <t xml:space="preserve">                        </t>
  </si>
  <si>
    <t>me©‡gvU =</t>
  </si>
  <si>
    <r>
      <t>1,41,892.00</t>
    </r>
    <r>
      <rPr>
        <sz val="1"/>
        <rFont val="AdarshaLipiExp"/>
      </rPr>
      <t>[</t>
    </r>
  </si>
  <si>
    <t>[</t>
  </si>
  <si>
    <r>
      <t>1,41,892.00</t>
    </r>
    <r>
      <rPr>
        <sz val="1"/>
        <rFont val="SutonnyMJ"/>
      </rPr>
      <t>[</t>
    </r>
  </si>
  <si>
    <r>
      <rPr>
        <sz val="9"/>
        <rFont val="SutonnyMJ"/>
      </rPr>
      <t>141892.00</t>
    </r>
    <r>
      <rPr>
        <sz val="1"/>
        <rFont val="AdarshaLipiExp"/>
      </rPr>
      <t>[</t>
    </r>
  </si>
  <si>
    <t xml:space="preserve">            </t>
  </si>
  <si>
    <t>‡gvt Beªvnxg</t>
  </si>
  <si>
    <t>‡gvt dwi` DwÏb</t>
  </si>
  <si>
    <t xml:space="preserve"> Lyjbv wkcBqvW© wjwg‡UW                     evsjv‡`k †bŠ evwnbx, Lyjbv</t>
  </si>
  <si>
    <t>‡gvt gwbiæj Bmjvg</t>
  </si>
  <si>
    <t>‡gvt mvBdzj Bmjvg</t>
  </si>
  <si>
    <t>‡gvt wd‡ivR Avn‡¤§`</t>
  </si>
  <si>
    <t>me©‡gvU=</t>
  </si>
  <si>
    <t>¯’vqx Kg©KZ©v</t>
  </si>
  <si>
    <t>‡givgwZ</t>
  </si>
  <si>
    <t>bewbg©vY Re</t>
  </si>
  <si>
    <t>bewbg©vb</t>
  </si>
  <si>
    <t>Re</t>
  </si>
  <si>
    <t>Rbej</t>
  </si>
  <si>
    <t>g¨vbyd¨vKPvwis</t>
  </si>
  <si>
    <r>
      <t xml:space="preserve">  </t>
    </r>
    <r>
      <rPr>
        <b/>
        <u/>
        <sz val="12"/>
        <rFont val="SutonnyMJ"/>
      </rPr>
      <t>¯’vqx I A¯’vqx kªwgK</t>
    </r>
  </si>
  <si>
    <t>MÖvBÛvi</t>
  </si>
  <si>
    <r>
      <t xml:space="preserve">bewbg©vY Re </t>
    </r>
    <r>
      <rPr>
        <b/>
        <sz val="14"/>
        <rFont val="SutonnyMJ"/>
      </rPr>
      <t xml:space="preserve"> = </t>
    </r>
  </si>
  <si>
    <t>g¨vbyd¨vKPvwis/ Avf¨šÍwiY Re =</t>
  </si>
  <si>
    <t xml:space="preserve">          2| wWwRGg (Gmwe)</t>
  </si>
  <si>
    <t xml:space="preserve">cÖvcKt  1| wRGg (‡cÖvWvKkb) </t>
  </si>
  <si>
    <t>5|</t>
  </si>
  <si>
    <t xml:space="preserve">¯’vqx D”P Z`viKKvix </t>
  </si>
  <si>
    <t>Pzw³wfwËK wmwbqi  mycvifvBRvi</t>
  </si>
  <si>
    <t xml:space="preserve">bt wbt 725 ‡d¬vwUs †µb          </t>
  </si>
  <si>
    <t>‡gvt bvRgyj nK</t>
  </si>
  <si>
    <r>
      <t xml:space="preserve">¯’vqx Kg©Pvix      </t>
    </r>
    <r>
      <rPr>
        <sz val="8"/>
        <rFont val="SutonnyMJ"/>
      </rPr>
      <t>(`ßimnKviŠ I wb¤œKiwYK)</t>
    </r>
  </si>
  <si>
    <t>bt wbt 728 †nfx wWDwU ¯úxW †evU-01</t>
  </si>
  <si>
    <t>bt wbt 729 †nfx wWDwU ¯úxW †evU-02</t>
  </si>
  <si>
    <t>bt wbt 742               UvM‡evU-01</t>
  </si>
  <si>
    <t>bt wbt 743              UvM‡evU-02</t>
  </si>
  <si>
    <t>bt wbt 751                     Rwic †evU-01</t>
  </si>
  <si>
    <t>Gg. G mvjvg</t>
  </si>
  <si>
    <t>bt wbt 753                     Rwic †evU-02</t>
  </si>
  <si>
    <t>bt wbt 739                         dvqvi †d¬vU</t>
  </si>
  <si>
    <t xml:space="preserve"> ‡gvt wMqvm DwÏb      ‡gvt Beªvnxg</t>
  </si>
  <si>
    <t>Re Awdmvi</t>
  </si>
  <si>
    <t>bt wbt 740                         dvqvi †d¬vU</t>
  </si>
  <si>
    <t>bt wbt 731                nvB w¯úW‡evU-02</t>
  </si>
  <si>
    <t>bt wbt 732                nvB w¯úW‡evU-03</t>
  </si>
  <si>
    <t>bt wbt 733                nvB w¯úW‡evU-04</t>
  </si>
  <si>
    <t>bt wbt 734                nvB w¯úW‡evU-05</t>
  </si>
  <si>
    <t xml:space="preserve">‡givgwZ-2333               Gg wf AcivwRZv </t>
  </si>
  <si>
    <t>‡givgwZ-2336            ev‡bŠRv eiKZ</t>
  </si>
  <si>
    <t xml:space="preserve">Avf¨t Gg/Gg-43/51 mve‡÷v‡ii Kv‡R </t>
  </si>
  <si>
    <t>Avf¨t 500/78 wmwjÛvi enb</t>
  </si>
  <si>
    <t xml:space="preserve">Gg. G mvjvg  </t>
  </si>
  <si>
    <t xml:space="preserve">‡gvt bvwn` †nvmvBb     †gvt nvmvby¾vgvb Lvb  gxi †gvt BDmyd KvImvi                </t>
  </si>
  <si>
    <t xml:space="preserve">bt wbt 756 nvB¯úxW †evU  (WvBwfs-1)       </t>
  </si>
  <si>
    <t xml:space="preserve">bt wbt 758 nvB¯úxW †evU  (‡dix-1)  </t>
  </si>
  <si>
    <t xml:space="preserve">bt wbt 759 nvB¯úxW †evU  (‡dix-2)  </t>
  </si>
  <si>
    <t>‡givgwZ, g¨vbyd¨vKPvwis I Avf¨šÍixb</t>
  </si>
  <si>
    <t xml:space="preserve">‡givgwZ= </t>
  </si>
  <si>
    <t xml:space="preserve">bt wbt 757 nvB¯úxW †evU  (WvBwfs-2)       </t>
  </si>
  <si>
    <t xml:space="preserve">Avf¨t 500/7 Awdm                </t>
  </si>
  <si>
    <t>wgm-2657 UvBUvwbK g‡Wj RvnvR</t>
  </si>
  <si>
    <t xml:space="preserve">Avf¨t 41/6 cvB‡ci Kv‡R </t>
  </si>
  <si>
    <t>Avf¨t 47/23 Uªwji Kv‡R</t>
  </si>
  <si>
    <t>Avf¨t wc-545 †Ug‡cøU Abyhvqx Re ˆZix Kiv</t>
  </si>
  <si>
    <t>‡givgwZ-2337     wewmwRGm †kUMvs</t>
  </si>
  <si>
    <t>‡gvU gRyix</t>
  </si>
  <si>
    <t>9,348/-</t>
  </si>
  <si>
    <t>3506/-</t>
  </si>
  <si>
    <t>6888/-</t>
  </si>
  <si>
    <t>492/-</t>
  </si>
  <si>
    <t>9480/-</t>
  </si>
  <si>
    <t>1422/-</t>
  </si>
  <si>
    <t>8,532/-</t>
  </si>
  <si>
    <t>1778/-</t>
  </si>
  <si>
    <t>8,058/-</t>
  </si>
  <si>
    <t>1,481/-</t>
  </si>
  <si>
    <t>6384/-</t>
  </si>
  <si>
    <t>570/-</t>
  </si>
  <si>
    <t>5,200/-</t>
  </si>
  <si>
    <t>2150/-</t>
  </si>
  <si>
    <t>8,000/-</t>
  </si>
  <si>
    <t>1350/-</t>
  </si>
  <si>
    <t>7,760/-</t>
  </si>
  <si>
    <t>146/-</t>
  </si>
  <si>
    <t>7,372/-</t>
  </si>
  <si>
    <t>291/-</t>
  </si>
  <si>
    <t>2,280/-</t>
  </si>
  <si>
    <t>114/-</t>
  </si>
  <si>
    <t>7,600/-</t>
  </si>
  <si>
    <t>2,825/-</t>
  </si>
  <si>
    <t>1750/-</t>
  </si>
  <si>
    <t>5,440/-</t>
  </si>
  <si>
    <t>1424/-</t>
  </si>
  <si>
    <t>6800/-</t>
  </si>
  <si>
    <t>2826/-</t>
  </si>
  <si>
    <t>6460/-</t>
  </si>
  <si>
    <t>2614/-</t>
  </si>
  <si>
    <t>6,460/-</t>
  </si>
  <si>
    <t>3379/-</t>
  </si>
  <si>
    <t>Abycw¯’Z</t>
  </si>
  <si>
    <t>K_vq: UvKv +++++++++++++++gvÎ</t>
  </si>
  <si>
    <t>‡gvU=/-</t>
  </si>
  <si>
    <t>‡gvU= /-</t>
  </si>
  <si>
    <t>/-</t>
  </si>
  <si>
    <t>Avf¨ 47/15K¨v‡iR Gi Kv‡R</t>
  </si>
  <si>
    <t>bt wbt 730 nvB w¯úW‡evU-01</t>
  </si>
  <si>
    <t xml:space="preserve">‡givgwZ- 2326, ev‡bŠRv ‡ZŠwdK  </t>
  </si>
  <si>
    <t xml:space="preserve">ev‡bŠRv cÙv               ‡givgwZ-  2342  </t>
  </si>
  <si>
    <t xml:space="preserve"> c›Uzb  ‡K-003               ‡givgwZ-2343</t>
  </si>
  <si>
    <t>Avf¨t we: 313 ivevi d¨v±ix</t>
  </si>
  <si>
    <t>wc-538 eøvwUs ey_ G¨v‡½j †d«g ˆZix</t>
  </si>
  <si>
    <t>‡gvt iv‡mj Lvb</t>
  </si>
  <si>
    <t xml:space="preserve"> bt wbt 688 K‡›UBbvi †f‡mj</t>
  </si>
  <si>
    <t>bt wbt 766 wdmvwiR †f‡mj</t>
  </si>
  <si>
    <t xml:space="preserve">ZvwiLt           Ryb 2020 </t>
  </si>
  <si>
    <t>bt wbt 735                nvB w¯úW‡evU-06</t>
  </si>
  <si>
    <t>Avf¨t 40/151/51 GgwW evs‡jv</t>
  </si>
  <si>
    <t>‰`wbK Re wfwËK nvwRiv, 10 Ryb 2020</t>
  </si>
</sst>
</file>

<file path=xl/styles.xml><?xml version="1.0" encoding="utf-8"?>
<styleSheet xmlns="http://schemas.openxmlformats.org/spreadsheetml/2006/main">
  <fonts count="74">
    <font>
      <sz val="10"/>
      <name val="Arial"/>
    </font>
    <font>
      <sz val="8"/>
      <name val="Arial"/>
      <family val="2"/>
    </font>
    <font>
      <sz val="10"/>
      <name val="SutonnyMJ"/>
    </font>
    <font>
      <sz val="12"/>
      <name val="SutonnyMJ"/>
    </font>
    <font>
      <b/>
      <sz val="10"/>
      <name val="SutonnyMJ"/>
    </font>
    <font>
      <b/>
      <sz val="10"/>
      <color indexed="12"/>
      <name val="SutonnyMJ"/>
    </font>
    <font>
      <b/>
      <sz val="10"/>
      <color indexed="10"/>
      <name val="SutonnyMJ"/>
    </font>
    <font>
      <sz val="10"/>
      <color indexed="12"/>
      <name val="SutonnyMJ"/>
    </font>
    <font>
      <sz val="10"/>
      <color indexed="10"/>
      <name val="SutonnyMJ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14"/>
      <name val="SutonnyMJ"/>
    </font>
    <font>
      <b/>
      <sz val="12"/>
      <name val="SutonnyMJ"/>
    </font>
    <font>
      <b/>
      <u/>
      <sz val="12"/>
      <name val="SutonnyMJ"/>
    </font>
    <font>
      <sz val="14"/>
      <name val="SutonnyMJ"/>
    </font>
    <font>
      <sz val="14"/>
      <color indexed="12"/>
      <name val="SutonnyMJ"/>
    </font>
    <font>
      <sz val="14"/>
      <color indexed="10"/>
      <name val="SutonnyMJ"/>
    </font>
    <font>
      <b/>
      <sz val="14"/>
      <name val="SutonnyMJ"/>
    </font>
    <font>
      <b/>
      <sz val="10"/>
      <color indexed="17"/>
      <name val="SutonnyMJ"/>
    </font>
    <font>
      <sz val="10"/>
      <color indexed="17"/>
      <name val="SutonnyMJ"/>
    </font>
    <font>
      <sz val="10"/>
      <color indexed="17"/>
      <name val="SutonnyMJ"/>
    </font>
    <font>
      <sz val="10"/>
      <color indexed="49"/>
      <name val="SutonnyMJ"/>
    </font>
    <font>
      <sz val="14"/>
      <color indexed="17"/>
      <name val="SutonnyMJ"/>
    </font>
    <font>
      <b/>
      <sz val="12"/>
      <color indexed="20"/>
      <name val="SutonnyMJ"/>
    </font>
    <font>
      <b/>
      <sz val="12"/>
      <color indexed="48"/>
      <name val="SutonnyMJ"/>
    </font>
    <font>
      <sz val="12"/>
      <color indexed="10"/>
      <name val="SutonnyMJ"/>
    </font>
    <font>
      <sz val="10"/>
      <color rgb="FFFF0000"/>
      <name val="SutonnyMJ"/>
    </font>
    <font>
      <sz val="10"/>
      <color rgb="FF00B050"/>
      <name val="SutonnyMJ"/>
    </font>
    <font>
      <sz val="10"/>
      <color rgb="FFC00000"/>
      <name val="SutonnyMJ"/>
    </font>
    <font>
      <b/>
      <sz val="10"/>
      <color rgb="FFC00000"/>
      <name val="SutonnyMJ"/>
    </font>
    <font>
      <sz val="14"/>
      <color rgb="FF00B050"/>
      <name val="SutonnyMJ"/>
    </font>
    <font>
      <b/>
      <sz val="12"/>
      <color rgb="FFC00000"/>
      <name val="SutonnyMJ"/>
    </font>
    <font>
      <b/>
      <sz val="12"/>
      <color rgb="FF00B050"/>
      <name val="SutonnyMJ"/>
    </font>
    <font>
      <sz val="10"/>
      <color rgb="FF0000FF"/>
      <name val="SutonnyMJ"/>
    </font>
    <font>
      <b/>
      <sz val="12"/>
      <color rgb="FFFF00FF"/>
      <name val="SutonnyMJ"/>
    </font>
    <font>
      <sz val="9"/>
      <name val="SutonnyMJ"/>
    </font>
    <font>
      <b/>
      <sz val="11"/>
      <name val="SutonnyMJ"/>
    </font>
    <font>
      <sz val="11"/>
      <name val="SutonnyMJ"/>
    </font>
    <font>
      <sz val="11"/>
      <name val="Calibri"/>
      <family val="2"/>
    </font>
    <font>
      <sz val="14"/>
      <name val="Tahoma"/>
      <family val="2"/>
    </font>
    <font>
      <sz val="11"/>
      <color rgb="FFFF0000"/>
      <name val="SutonnyMJ"/>
    </font>
    <font>
      <b/>
      <sz val="11"/>
      <color rgb="FFFF0000"/>
      <name val="SutonnyMJ"/>
    </font>
    <font>
      <b/>
      <sz val="8"/>
      <color rgb="FFFF0000"/>
      <name val="SutonnyMJ"/>
    </font>
    <font>
      <b/>
      <sz val="8"/>
      <name val="SutonnyMJ"/>
    </font>
    <font>
      <sz val="8"/>
      <name val="SutonnyMJ"/>
    </font>
    <font>
      <sz val="8"/>
      <color rgb="FFFF0000"/>
      <name val="SutonnyMJ"/>
    </font>
    <font>
      <sz val="12"/>
      <color rgb="FFC00000"/>
      <name val="SutonnyMJ"/>
    </font>
    <font>
      <sz val="10"/>
      <color rgb="FF000000"/>
      <name val="SutonnyMJ"/>
    </font>
    <font>
      <sz val="1"/>
      <name val="AdarshaLipiExp"/>
    </font>
    <font>
      <sz val="9"/>
      <name val="AdarshaLipiExp"/>
    </font>
    <font>
      <sz val="1"/>
      <name val="SutonnyMJ"/>
    </font>
    <font>
      <b/>
      <sz val="10"/>
      <color theme="1"/>
      <name val="SutonnyMJ"/>
    </font>
    <font>
      <sz val="10"/>
      <color rgb="FFFF00FF"/>
      <name val="SutonnyMJ"/>
    </font>
    <font>
      <b/>
      <sz val="10"/>
      <color rgb="FF00B050"/>
      <name val="SutonnyMJ"/>
    </font>
    <font>
      <b/>
      <sz val="10"/>
      <color rgb="FFFF00FF"/>
      <name val="SutonnyMJ"/>
    </font>
    <font>
      <b/>
      <sz val="12"/>
      <color rgb="FF0000FF"/>
      <name val="SutonnyMJ"/>
    </font>
    <font>
      <b/>
      <sz val="10"/>
      <color rgb="FFFF0000"/>
      <name val="SutonnyMJ"/>
    </font>
    <font>
      <b/>
      <sz val="10"/>
      <color theme="9" tint="-0.499984740745262"/>
      <name val="SutonnyMJ"/>
    </font>
    <font>
      <b/>
      <sz val="12"/>
      <color theme="4" tint="-0.499984740745262"/>
      <name val="SutonnyMJ"/>
    </font>
    <font>
      <b/>
      <sz val="10"/>
      <color theme="4" tint="-0.499984740745262"/>
      <name val="SutonnyMJ"/>
    </font>
    <font>
      <sz val="10"/>
      <color theme="9" tint="-0.249977111117893"/>
      <name val="SutonnyMJ"/>
    </font>
    <font>
      <b/>
      <sz val="10"/>
      <color theme="9" tint="-0.249977111117893"/>
      <name val="SutonnyMJ"/>
    </font>
    <font>
      <sz val="16"/>
      <name val="AdarshaLipiExp"/>
    </font>
    <font>
      <sz val="10"/>
      <color theme="8"/>
      <name val="SutonnyMJ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0"/>
      <name val="Arial"/>
      <family val="2"/>
    </font>
    <font>
      <sz val="9"/>
      <name val="Arial"/>
      <family val="2"/>
    </font>
    <font>
      <b/>
      <sz val="10"/>
      <color indexed="48"/>
      <name val="SutonnyMJ"/>
    </font>
    <font>
      <sz val="10"/>
      <color indexed="48"/>
      <name val="SutonnyMJ"/>
    </font>
    <font>
      <b/>
      <sz val="10"/>
      <color rgb="FF0000FF"/>
      <name val="SutonnyMJ"/>
    </font>
    <font>
      <b/>
      <sz val="10"/>
      <color indexed="20"/>
      <name val="SutonnyMJ"/>
    </font>
    <font>
      <b/>
      <sz val="14"/>
      <color theme="9" tint="-0.249977111117893"/>
      <name val="SutonnyMJ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wrapText="1" shrinkToFit="1"/>
    </xf>
    <xf numFmtId="0" fontId="7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2" fillId="0" borderId="0" xfId="0" applyFont="1"/>
    <xf numFmtId="0" fontId="4" fillId="0" borderId="0" xfId="0" applyFont="1"/>
    <xf numFmtId="0" fontId="0" fillId="0" borderId="0" xfId="0" applyBorder="1"/>
    <xf numFmtId="0" fontId="18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/>
    </xf>
    <xf numFmtId="0" fontId="27" fillId="0" borderId="0" xfId="0" applyFont="1" applyBorder="1"/>
    <xf numFmtId="0" fontId="14" fillId="0" borderId="0" xfId="0" applyFont="1" applyBorder="1"/>
    <xf numFmtId="0" fontId="22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/>
    </xf>
    <xf numFmtId="0" fontId="30" fillId="0" borderId="0" xfId="0" applyFont="1" applyBorder="1"/>
    <xf numFmtId="0" fontId="14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8" fillId="0" borderId="6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left" vertical="top" wrapText="1" indent="2"/>
    </xf>
    <xf numFmtId="0" fontId="2" fillId="0" borderId="0" xfId="0" applyFont="1" applyBorder="1" applyAlignment="1">
      <alignment vertical="top" wrapText="1"/>
    </xf>
    <xf numFmtId="0" fontId="37" fillId="0" borderId="0" xfId="0" applyFont="1" applyFill="1" applyBorder="1" applyAlignment="1">
      <alignment horizontal="center" vertical="top" wrapText="1"/>
    </xf>
    <xf numFmtId="0" fontId="38" fillId="0" borderId="0" xfId="0" applyFont="1" applyBorder="1" applyAlignment="1">
      <alignment wrapText="1"/>
    </xf>
    <xf numFmtId="0" fontId="37" fillId="0" borderId="0" xfId="0" applyFont="1" applyBorder="1" applyAlignment="1">
      <alignment horizontal="center" vertical="top" wrapText="1"/>
    </xf>
    <xf numFmtId="0" fontId="36" fillId="0" borderId="0" xfId="0" applyFont="1" applyBorder="1" applyAlignment="1">
      <alignment horizontal="center" vertical="top" wrapText="1"/>
    </xf>
    <xf numFmtId="0" fontId="39" fillId="0" borderId="0" xfId="0" applyFont="1" applyBorder="1" applyAlignment="1">
      <alignment horizontal="center" vertical="top" wrapText="1"/>
    </xf>
    <xf numFmtId="0" fontId="0" fillId="0" borderId="0" xfId="0" applyFill="1" applyBorder="1"/>
    <xf numFmtId="0" fontId="40" fillId="0" borderId="0" xfId="0" applyFont="1" applyBorder="1" applyAlignment="1">
      <alignment horizontal="center" vertical="top" wrapText="1"/>
    </xf>
    <xf numFmtId="0" fontId="37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2" fillId="0" borderId="6" xfId="0" applyFont="1" applyBorder="1"/>
    <xf numFmtId="0" fontId="14" fillId="2" borderId="0" xfId="0" applyFont="1" applyFill="1" applyBorder="1"/>
    <xf numFmtId="0" fontId="41" fillId="0" borderId="0" xfId="0" applyFont="1" applyBorder="1" applyAlignment="1">
      <alignment horizontal="center" vertical="top" wrapText="1"/>
    </xf>
    <xf numFmtId="0" fontId="40" fillId="0" borderId="0" xfId="0" applyFont="1" applyBorder="1" applyAlignment="1">
      <alignment horizontal="left" vertical="top" wrapText="1" indent="2"/>
    </xf>
    <xf numFmtId="0" fontId="26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wrapText="1"/>
    </xf>
    <xf numFmtId="0" fontId="42" fillId="0" borderId="0" xfId="0" applyFont="1" applyBorder="1" applyAlignment="1">
      <alignment horizontal="center" vertical="top" wrapText="1"/>
    </xf>
    <xf numFmtId="0" fontId="44" fillId="0" borderId="0" xfId="0" applyFont="1" applyBorder="1" applyAlignment="1">
      <alignment horizontal="left" vertical="top" wrapText="1" indent="2"/>
    </xf>
    <xf numFmtId="0" fontId="44" fillId="0" borderId="0" xfId="0" applyFont="1" applyBorder="1" applyAlignment="1">
      <alignment vertical="top" wrapText="1"/>
    </xf>
    <xf numFmtId="0" fontId="45" fillId="0" borderId="0" xfId="0" applyFont="1" applyBorder="1" applyAlignment="1">
      <alignment horizontal="center" vertical="top" wrapText="1"/>
    </xf>
    <xf numFmtId="0" fontId="45" fillId="0" borderId="0" xfId="0" applyFont="1" applyBorder="1" applyAlignment="1">
      <alignment vertical="top" wrapText="1"/>
    </xf>
    <xf numFmtId="0" fontId="44" fillId="0" borderId="0" xfId="0" applyFont="1" applyBorder="1" applyAlignment="1">
      <alignment horizontal="center" vertical="top" wrapText="1"/>
    </xf>
    <xf numFmtId="0" fontId="40" fillId="0" borderId="0" xfId="0" applyFont="1" applyBorder="1" applyAlignment="1">
      <alignment vertical="top" wrapText="1"/>
    </xf>
    <xf numFmtId="0" fontId="37" fillId="0" borderId="0" xfId="0" applyFont="1" applyBorder="1"/>
    <xf numFmtId="0" fontId="43" fillId="0" borderId="0" xfId="0" applyFont="1" applyBorder="1" applyAlignment="1">
      <alignment horizontal="center" vertical="top" wrapText="1"/>
    </xf>
    <xf numFmtId="0" fontId="43" fillId="0" borderId="0" xfId="0" applyFont="1" applyBorder="1" applyAlignment="1">
      <alignment vertical="top" wrapText="1"/>
    </xf>
    <xf numFmtId="0" fontId="14" fillId="0" borderId="0" xfId="0" applyFont="1" applyBorder="1" applyAlignment="1"/>
    <xf numFmtId="0" fontId="36" fillId="0" borderId="0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37" fillId="0" borderId="0" xfId="0" applyFont="1" applyBorder="1" applyAlignment="1">
      <alignment horizontal="center" vertical="top" wrapText="1"/>
    </xf>
    <xf numFmtId="0" fontId="47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0" borderId="1" xfId="0" applyFont="1" applyBorder="1" applyAlignment="1">
      <alignment horizontal="right"/>
    </xf>
    <xf numFmtId="0" fontId="14" fillId="0" borderId="10" xfId="0" applyFont="1" applyBorder="1"/>
    <xf numFmtId="0" fontId="15" fillId="0" borderId="2" xfId="0" applyFont="1" applyBorder="1" applyAlignment="1">
      <alignment horizontal="right"/>
    </xf>
    <xf numFmtId="0" fontId="14" fillId="0" borderId="3" xfId="0" applyFont="1" applyBorder="1"/>
    <xf numFmtId="0" fontId="14" fillId="0" borderId="21" xfId="0" applyFont="1" applyBorder="1"/>
    <xf numFmtId="0" fontId="14" fillId="0" borderId="22" xfId="0" applyFont="1" applyBorder="1"/>
    <xf numFmtId="0" fontId="17" fillId="0" borderId="5" xfId="0" applyFont="1" applyBorder="1"/>
    <xf numFmtId="0" fontId="35" fillId="0" borderId="0" xfId="0" applyFont="1" applyAlignment="1">
      <alignment horizontal="right" vertical="top" wrapText="1"/>
    </xf>
    <xf numFmtId="4" fontId="35" fillId="0" borderId="0" xfId="0" applyNumberFormat="1" applyFont="1" applyAlignment="1">
      <alignment horizontal="right" vertical="top" wrapText="1"/>
    </xf>
    <xf numFmtId="0" fontId="48" fillId="0" borderId="0" xfId="0" applyFont="1" applyAlignment="1">
      <alignment horizontal="right" vertical="top" wrapText="1"/>
    </xf>
    <xf numFmtId="4" fontId="49" fillId="0" borderId="20" xfId="0" applyNumberFormat="1" applyFont="1" applyBorder="1" applyAlignment="1">
      <alignment vertical="top" wrapText="1"/>
    </xf>
    <xf numFmtId="0" fontId="49" fillId="0" borderId="23" xfId="0" applyFont="1" applyBorder="1" applyAlignment="1">
      <alignment vertical="top" wrapText="1"/>
    </xf>
    <xf numFmtId="4" fontId="35" fillId="0" borderId="23" xfId="0" applyNumberFormat="1" applyFont="1" applyBorder="1" applyAlignment="1">
      <alignment horizontal="center" vertical="top" wrapText="1"/>
    </xf>
    <xf numFmtId="4" fontId="37" fillId="0" borderId="0" xfId="0" applyNumberFormat="1" applyFont="1" applyBorder="1" applyAlignment="1">
      <alignment horizontal="center" vertical="top" wrapText="1"/>
    </xf>
    <xf numFmtId="4" fontId="35" fillId="0" borderId="20" xfId="0" applyNumberFormat="1" applyFont="1" applyBorder="1" applyAlignment="1">
      <alignment horizontal="center" vertical="top" wrapText="1"/>
    </xf>
    <xf numFmtId="4" fontId="49" fillId="0" borderId="23" xfId="0" applyNumberFormat="1" applyFont="1" applyBorder="1" applyAlignment="1">
      <alignment vertical="top" wrapText="1"/>
    </xf>
    <xf numFmtId="4" fontId="27" fillId="0" borderId="0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0" fontId="52" fillId="0" borderId="6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33" fillId="0" borderId="4" xfId="0" applyFont="1" applyBorder="1"/>
    <xf numFmtId="0" fontId="2" fillId="0" borderId="2" xfId="0" applyFont="1" applyBorder="1"/>
    <xf numFmtId="0" fontId="52" fillId="0" borderId="4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 shrinkToFi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52" fillId="0" borderId="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6" fillId="0" borderId="4" xfId="0" applyFont="1" applyBorder="1"/>
    <xf numFmtId="0" fontId="3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 shrinkToFit="1"/>
    </xf>
    <xf numFmtId="0" fontId="33" fillId="0" borderId="2" xfId="0" applyFont="1" applyBorder="1" applyAlignment="1">
      <alignment horizontal="center" vertical="center"/>
    </xf>
    <xf numFmtId="0" fontId="33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55" fillId="0" borderId="14" xfId="0" applyFont="1" applyBorder="1" applyAlignment="1">
      <alignment horizontal="center" vertical="center"/>
    </xf>
    <xf numFmtId="0" fontId="26" fillId="0" borderId="0" xfId="0" applyFont="1" applyBorder="1"/>
    <xf numFmtId="0" fontId="2" fillId="0" borderId="2" xfId="0" applyFont="1" applyFill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/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6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26" fillId="0" borderId="0" xfId="0" applyFont="1"/>
    <xf numFmtId="0" fontId="56" fillId="0" borderId="12" xfId="0" applyFont="1" applyBorder="1" applyAlignment="1">
      <alignment horizontal="center"/>
    </xf>
    <xf numFmtId="0" fontId="24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2" xfId="0" applyFont="1" applyBorder="1"/>
    <xf numFmtId="0" fontId="2" fillId="0" borderId="29" xfId="0" applyFont="1" applyBorder="1"/>
    <xf numFmtId="0" fontId="2" fillId="0" borderId="48" xfId="0" applyFont="1" applyBorder="1"/>
    <xf numFmtId="0" fontId="2" fillId="0" borderId="49" xfId="0" applyFont="1" applyBorder="1"/>
    <xf numFmtId="0" fontId="2" fillId="0" borderId="31" xfId="0" applyFont="1" applyBorder="1"/>
    <xf numFmtId="0" fontId="33" fillId="0" borderId="8" xfId="0" applyFont="1" applyBorder="1" applyAlignment="1">
      <alignment horizontal="center"/>
    </xf>
    <xf numFmtId="0" fontId="0" fillId="0" borderId="0" xfId="0" applyBorder="1" applyAlignment="1"/>
    <xf numFmtId="0" fontId="33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57" fillId="0" borderId="47" xfId="0" applyFont="1" applyBorder="1" applyAlignment="1">
      <alignment horizontal="center"/>
    </xf>
    <xf numFmtId="0" fontId="58" fillId="0" borderId="14" xfId="0" applyFont="1" applyBorder="1" applyAlignment="1">
      <alignment horizontal="center" vertical="center"/>
    </xf>
    <xf numFmtId="0" fontId="59" fillId="0" borderId="16" xfId="0" applyFont="1" applyBorder="1" applyAlignment="1">
      <alignment horizontal="center"/>
    </xf>
    <xf numFmtId="0" fontId="60" fillId="0" borderId="4" xfId="0" applyFont="1" applyBorder="1"/>
    <xf numFmtId="0" fontId="60" fillId="0" borderId="2" xfId="0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0" fontId="60" fillId="0" borderId="6" xfId="0" applyFont="1" applyBorder="1"/>
    <xf numFmtId="0" fontId="60" fillId="0" borderId="44" xfId="0" applyFont="1" applyBorder="1"/>
    <xf numFmtId="0" fontId="60" fillId="0" borderId="38" xfId="0" applyFont="1" applyBorder="1"/>
    <xf numFmtId="0" fontId="60" fillId="0" borderId="37" xfId="0" applyFont="1" applyBorder="1" applyAlignment="1">
      <alignment horizontal="center"/>
    </xf>
    <xf numFmtId="0" fontId="60" fillId="0" borderId="38" xfId="0" applyFont="1" applyBorder="1" applyAlignment="1">
      <alignment horizontal="center"/>
    </xf>
    <xf numFmtId="0" fontId="60" fillId="0" borderId="44" xfId="0" applyFont="1" applyBorder="1" applyAlignment="1">
      <alignment horizontal="center"/>
    </xf>
    <xf numFmtId="0" fontId="60" fillId="0" borderId="43" xfId="0" applyFont="1" applyBorder="1" applyAlignment="1">
      <alignment horizontal="center"/>
    </xf>
    <xf numFmtId="0" fontId="61" fillId="0" borderId="35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60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52" fillId="0" borderId="51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33" fillId="0" borderId="51" xfId="0" applyFont="1" applyBorder="1" applyAlignment="1">
      <alignment horizontal="center"/>
    </xf>
    <xf numFmtId="0" fontId="2" fillId="0" borderId="51" xfId="0" applyFont="1" applyBorder="1"/>
    <xf numFmtId="0" fontId="2" fillId="0" borderId="33" xfId="0" applyFont="1" applyBorder="1" applyAlignment="1">
      <alignment horizontal="center"/>
    </xf>
    <xf numFmtId="0" fontId="62" fillId="0" borderId="0" xfId="0" applyFont="1" applyAlignment="1">
      <alignment horizontal="right" vertical="top" wrapText="1"/>
    </xf>
    <xf numFmtId="0" fontId="2" fillId="0" borderId="32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63" fillId="0" borderId="4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65" fillId="0" borderId="0" xfId="0" applyFont="1" applyBorder="1"/>
    <xf numFmtId="0" fontId="65" fillId="0" borderId="0" xfId="0" applyFont="1" applyBorder="1" applyAlignment="1">
      <alignment horizontal="justify" vertical="top" wrapText="1"/>
    </xf>
    <xf numFmtId="4" fontId="65" fillId="0" borderId="0" xfId="0" applyNumberFormat="1" applyFont="1" applyBorder="1" applyAlignment="1">
      <alignment horizontal="justify" vertical="top" wrapText="1"/>
    </xf>
    <xf numFmtId="4" fontId="66" fillId="0" borderId="0" xfId="0" applyNumberFormat="1" applyFont="1" applyBorder="1" applyAlignment="1">
      <alignment horizontal="center" vertical="top" wrapText="1"/>
    </xf>
    <xf numFmtId="0" fontId="64" fillId="0" borderId="0" xfId="0" applyFont="1" applyBorder="1" applyAlignment="1">
      <alignment horizontal="center" vertical="top" wrapText="1"/>
    </xf>
    <xf numFmtId="0" fontId="52" fillId="0" borderId="6" xfId="0" applyFont="1" applyBorder="1" applyAlignment="1">
      <alignment horizontal="center" vertical="center"/>
    </xf>
    <xf numFmtId="0" fontId="60" fillId="0" borderId="4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3" fillId="0" borderId="6" xfId="0" applyFont="1" applyBorder="1"/>
    <xf numFmtId="0" fontId="17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60" fillId="0" borderId="2" xfId="0" applyFont="1" applyBorder="1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center"/>
    </xf>
    <xf numFmtId="0" fontId="28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63" fillId="0" borderId="2" xfId="0" applyFont="1" applyBorder="1" applyAlignment="1">
      <alignment horizontal="center"/>
    </xf>
    <xf numFmtId="0" fontId="58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right"/>
    </xf>
    <xf numFmtId="0" fontId="59" fillId="0" borderId="0" xfId="0" applyFont="1" applyBorder="1" applyAlignment="1">
      <alignment horizontal="center"/>
    </xf>
    <xf numFmtId="0" fontId="56" fillId="0" borderId="0" xfId="0" applyFont="1" applyBorder="1" applyAlignment="1">
      <alignment horizontal="center"/>
    </xf>
    <xf numFmtId="0" fontId="53" fillId="0" borderId="0" xfId="0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61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33" fillId="0" borderId="8" xfId="0" applyFont="1" applyBorder="1"/>
    <xf numFmtId="0" fontId="3" fillId="0" borderId="4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 wrapText="1"/>
    </xf>
    <xf numFmtId="0" fontId="58" fillId="0" borderId="57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55" fillId="0" borderId="57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/>
    </xf>
    <xf numFmtId="0" fontId="60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31" fillId="0" borderId="29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0" fontId="26" fillId="0" borderId="60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58" fillId="0" borderId="59" xfId="0" applyFont="1" applyBorder="1" applyAlignment="1">
      <alignment horizontal="center" vertical="center"/>
    </xf>
    <xf numFmtId="0" fontId="58" fillId="0" borderId="60" xfId="0" applyFont="1" applyBorder="1" applyAlignment="1">
      <alignment horizontal="center" vertical="center"/>
    </xf>
    <xf numFmtId="0" fontId="2" fillId="0" borderId="59" xfId="0" applyFont="1" applyBorder="1"/>
    <xf numFmtId="0" fontId="2" fillId="0" borderId="60" xfId="0" applyFont="1" applyBorder="1"/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/>
    </xf>
    <xf numFmtId="0" fontId="70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71" fillId="0" borderId="2" xfId="0" applyFont="1" applyBorder="1" applyAlignment="1">
      <alignment horizontal="center" vertical="center"/>
    </xf>
    <xf numFmtId="0" fontId="72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6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0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72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69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9" fillId="0" borderId="26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28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/>
    </xf>
    <xf numFmtId="0" fontId="52" fillId="0" borderId="57" xfId="0" applyFont="1" applyBorder="1" applyAlignment="1">
      <alignment horizontal="center"/>
    </xf>
    <xf numFmtId="0" fontId="52" fillId="0" borderId="42" xfId="0" applyFont="1" applyBorder="1" applyAlignment="1">
      <alignment horizontal="center"/>
    </xf>
    <xf numFmtId="0" fontId="12" fillId="0" borderId="67" xfId="0" applyFont="1" applyBorder="1" applyAlignment="1">
      <alignment horizontal="center" vertical="top" wrapText="1"/>
    </xf>
    <xf numFmtId="0" fontId="31" fillId="0" borderId="69" xfId="0" applyFont="1" applyBorder="1" applyAlignment="1">
      <alignment horizontal="center" vertical="top" wrapText="1"/>
    </xf>
    <xf numFmtId="0" fontId="12" fillId="0" borderId="68" xfId="0" applyFont="1" applyBorder="1" applyAlignment="1">
      <alignment horizontal="center" vertical="top" wrapText="1"/>
    </xf>
    <xf numFmtId="0" fontId="12" fillId="0" borderId="69" xfId="0" applyFont="1" applyBorder="1" applyAlignment="1">
      <alignment horizontal="center" vertical="top" wrapText="1"/>
    </xf>
    <xf numFmtId="0" fontId="31" fillId="0" borderId="68" xfId="0" applyFont="1" applyBorder="1" applyAlignment="1">
      <alignment horizontal="center" vertical="top" wrapText="1"/>
    </xf>
    <xf numFmtId="0" fontId="46" fillId="0" borderId="68" xfId="0" applyFont="1" applyBorder="1" applyAlignment="1">
      <alignment horizontal="center" vertical="top" wrapText="1"/>
    </xf>
    <xf numFmtId="0" fontId="46" fillId="0" borderId="69" xfId="0" applyFont="1" applyBorder="1" applyAlignment="1">
      <alignment horizontal="center" vertical="top" wrapText="1"/>
    </xf>
    <xf numFmtId="0" fontId="31" fillId="0" borderId="71" xfId="0" applyFont="1" applyBorder="1" applyAlignment="1">
      <alignment horizontal="center" vertical="top" wrapText="1"/>
    </xf>
    <xf numFmtId="0" fontId="12" fillId="0" borderId="70" xfId="0" applyFont="1" applyBorder="1" applyAlignment="1">
      <alignment horizontal="center" vertical="top" wrapText="1"/>
    </xf>
    <xf numFmtId="0" fontId="3" fillId="0" borderId="70" xfId="0" applyFont="1" applyBorder="1" applyAlignment="1">
      <alignment horizontal="center" vertical="top" wrapText="1"/>
    </xf>
    <xf numFmtId="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62" xfId="0" applyFont="1" applyBorder="1" applyAlignment="1">
      <alignment horizontal="left" wrapText="1"/>
    </xf>
    <xf numFmtId="0" fontId="2" fillId="0" borderId="47" xfId="0" applyFont="1" applyBorder="1" applyAlignment="1">
      <alignment horizontal="left" wrapText="1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/>
    </xf>
    <xf numFmtId="0" fontId="73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2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5" fillId="0" borderId="25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 wrapText="1"/>
    </xf>
    <xf numFmtId="0" fontId="35" fillId="0" borderId="48" xfId="0" applyFont="1" applyBorder="1" applyAlignment="1">
      <alignment horizontal="left" vertical="center" wrapText="1"/>
    </xf>
    <xf numFmtId="0" fontId="35" fillId="0" borderId="49" xfId="0" applyFont="1" applyBorder="1" applyAlignment="1">
      <alignment horizontal="left" vertical="center" wrapText="1"/>
    </xf>
    <xf numFmtId="0" fontId="35" fillId="0" borderId="61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11" fillId="0" borderId="27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2" fillId="0" borderId="37" xfId="0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42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11" fillId="0" borderId="5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37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5" xfId="0" applyFont="1" applyBorder="1" applyAlignment="1">
      <alignment horizontal="center" vertical="center"/>
    </xf>
    <xf numFmtId="0" fontId="0" fillId="0" borderId="19" xfId="0" applyBorder="1"/>
    <xf numFmtId="0" fontId="44" fillId="0" borderId="14" xfId="0" applyFont="1" applyBorder="1" applyAlignment="1">
      <alignment horizontal="left" vertical="center" wrapText="1"/>
    </xf>
    <xf numFmtId="0" fontId="44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0" fillId="0" borderId="7" xfId="0" applyBorder="1"/>
    <xf numFmtId="0" fontId="44" fillId="0" borderId="2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center" vertical="center"/>
    </xf>
    <xf numFmtId="0" fontId="35" fillId="0" borderId="51" xfId="0" applyFont="1" applyBorder="1" applyAlignment="1">
      <alignment horizontal="left" vertical="center" wrapText="1"/>
    </xf>
    <xf numFmtId="0" fontId="35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4" fillId="0" borderId="8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44" xfId="0" applyFont="1" applyBorder="1" applyAlignment="1">
      <alignment horizontal="right"/>
    </xf>
    <xf numFmtId="0" fontId="35" fillId="0" borderId="30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35" fillId="0" borderId="33" xfId="0" applyFont="1" applyBorder="1" applyAlignment="1">
      <alignment horizontal="left" vertical="center" wrapText="1"/>
    </xf>
    <xf numFmtId="0" fontId="68" fillId="0" borderId="36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4" fillId="0" borderId="14" xfId="0" applyFont="1" applyBorder="1" applyAlignment="1">
      <alignment vertical="center" wrapText="1"/>
    </xf>
    <xf numFmtId="0" fontId="44" fillId="0" borderId="12" xfId="0" applyFont="1" applyBorder="1" applyAlignment="1">
      <alignment vertical="center" wrapText="1"/>
    </xf>
    <xf numFmtId="0" fontId="35" fillId="0" borderId="62" xfId="0" applyFont="1" applyBorder="1" applyAlignment="1">
      <alignment horizontal="left" vertical="center" wrapText="1"/>
    </xf>
    <xf numFmtId="0" fontId="35" fillId="0" borderId="47" xfId="0" applyFont="1" applyBorder="1" applyAlignment="1">
      <alignment horizontal="left" vertical="center" wrapText="1"/>
    </xf>
    <xf numFmtId="0" fontId="2" fillId="0" borderId="48" xfId="0" applyFont="1" applyBorder="1" applyAlignment="1">
      <alignment horizontal="center" vertical="center" wrapText="1" shrinkToFit="1"/>
    </xf>
    <xf numFmtId="0" fontId="2" fillId="0" borderId="49" xfId="0" applyFont="1" applyBorder="1" applyAlignment="1">
      <alignment horizontal="center" vertical="center" wrapText="1" shrinkToFit="1"/>
    </xf>
    <xf numFmtId="0" fontId="2" fillId="0" borderId="45" xfId="0" applyFont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wrapText="1" shrinkToFit="1"/>
    </xf>
    <xf numFmtId="0" fontId="2" fillId="0" borderId="42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center" vertical="center" wrapText="1" shrinkToFit="1"/>
    </xf>
    <xf numFmtId="0" fontId="2" fillId="0" borderId="46" xfId="0" applyFont="1" applyBorder="1" applyAlignment="1">
      <alignment horizontal="center" vertical="center" wrapText="1" shrinkToFit="1"/>
    </xf>
    <xf numFmtId="0" fontId="2" fillId="0" borderId="35" xfId="0" applyFont="1" applyBorder="1" applyAlignment="1">
      <alignment horizontal="center" vertical="center" wrapText="1" shrinkToFit="1"/>
    </xf>
    <xf numFmtId="0" fontId="2" fillId="0" borderId="34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 shrinkToFit="1"/>
    </xf>
    <xf numFmtId="0" fontId="4" fillId="0" borderId="45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left" vertical="center" wrapText="1"/>
    </xf>
    <xf numFmtId="0" fontId="2" fillId="0" borderId="65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center" vertical="top" wrapText="1"/>
    </xf>
    <xf numFmtId="0" fontId="36" fillId="0" borderId="0" xfId="0" applyFont="1" applyBorder="1" applyAlignment="1">
      <alignment horizontal="center" vertical="top" wrapText="1"/>
    </xf>
    <xf numFmtId="0" fontId="35" fillId="0" borderId="25" xfId="0" applyFont="1" applyBorder="1" applyAlignment="1">
      <alignment horizontal="center" vertical="top" wrapText="1"/>
    </xf>
    <xf numFmtId="0" fontId="35" fillId="0" borderId="24" xfId="0" applyFont="1" applyBorder="1" applyAlignment="1">
      <alignment horizontal="center" vertical="top" wrapText="1"/>
    </xf>
    <xf numFmtId="0" fontId="35" fillId="0" borderId="23" xfId="0" applyFont="1" applyBorder="1" applyAlignment="1">
      <alignment horizontal="center" vertical="top" wrapText="1"/>
    </xf>
    <xf numFmtId="0" fontId="49" fillId="0" borderId="25" xfId="0" applyFont="1" applyBorder="1" applyAlignment="1">
      <alignment vertical="top" wrapText="1"/>
    </xf>
    <xf numFmtId="0" fontId="49" fillId="0" borderId="24" xfId="0" applyFont="1" applyBorder="1" applyAlignment="1">
      <alignment vertical="top" wrapText="1"/>
    </xf>
    <xf numFmtId="0" fontId="49" fillId="0" borderId="23" xfId="0" applyFont="1" applyBorder="1" applyAlignment="1">
      <alignment vertical="top" wrapText="1"/>
    </xf>
    <xf numFmtId="0" fontId="14" fillId="0" borderId="72" xfId="0" applyFont="1" applyBorder="1" applyAlignment="1">
      <alignment horizontal="right" vertical="top" wrapText="1"/>
    </xf>
    <xf numFmtId="0" fontId="14" fillId="0" borderId="7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0000FF"/>
      <color rgb="FFF4740A"/>
      <color rgb="FF000000"/>
      <color rgb="FFFF9900"/>
      <color rgb="FFFFFFFF"/>
      <color rgb="FF339933"/>
      <color rgb="FFCC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4"/>
  <sheetViews>
    <sheetView tabSelected="1" view="pageBreakPreview" zoomScaleSheetLayoutView="100" zoomScalePageLayoutView="85" workbookViewId="0">
      <selection activeCell="H49" sqref="H49"/>
    </sheetView>
  </sheetViews>
  <sheetFormatPr defaultRowHeight="14.25"/>
  <cols>
    <col min="1" max="1" width="4.7109375" style="1" customWidth="1"/>
    <col min="2" max="2" width="15.85546875" style="1" customWidth="1"/>
    <col min="3" max="3" width="15.28515625" style="1" customWidth="1"/>
    <col min="4" max="4" width="9.140625" style="1"/>
    <col min="5" max="6" width="7.28515625" style="1" customWidth="1"/>
    <col min="7" max="12" width="9.140625" style="1"/>
    <col min="13" max="13" width="8.5703125" style="1" customWidth="1"/>
    <col min="14" max="14" width="9.140625" style="1"/>
    <col min="15" max="15" width="9.140625" style="8"/>
    <col min="16" max="16" width="10.42578125" style="1" customWidth="1"/>
    <col min="17" max="16384" width="9.140625" style="1"/>
  </cols>
  <sheetData>
    <row r="1" spans="1:16" ht="12" customHeight="1"/>
    <row r="2" spans="1:16" ht="14.25" customHeight="1">
      <c r="A2" s="2"/>
      <c r="B2" s="2"/>
      <c r="C2" s="10"/>
      <c r="D2" s="10"/>
      <c r="E2" s="415" t="s">
        <v>41</v>
      </c>
      <c r="F2" s="415"/>
      <c r="G2" s="415"/>
      <c r="H2" s="415"/>
      <c r="I2" s="2"/>
    </row>
    <row r="3" spans="1:16" ht="17.25">
      <c r="A3" s="2"/>
      <c r="B3" s="2"/>
      <c r="C3" s="10"/>
      <c r="D3" s="10"/>
      <c r="E3" s="415"/>
      <c r="F3" s="415"/>
      <c r="G3" s="415"/>
      <c r="H3" s="415"/>
      <c r="I3" s="2"/>
    </row>
    <row r="4" spans="1:16" ht="18" thickBot="1">
      <c r="B4" s="2"/>
      <c r="C4" s="2"/>
      <c r="D4" s="2" t="s">
        <v>31</v>
      </c>
      <c r="E4" s="2"/>
      <c r="F4" s="2"/>
      <c r="G4" s="19"/>
      <c r="I4" s="1" t="s">
        <v>38</v>
      </c>
      <c r="K4" s="431" t="s">
        <v>147</v>
      </c>
      <c r="L4" s="431"/>
      <c r="M4" s="431"/>
      <c r="N4" s="431"/>
    </row>
    <row r="5" spans="1:16" ht="18" thickBot="1">
      <c r="A5" s="416" t="s">
        <v>26</v>
      </c>
      <c r="B5" s="416"/>
      <c r="C5" s="416"/>
      <c r="D5" s="18" t="s">
        <v>32</v>
      </c>
      <c r="E5" s="417" t="s">
        <v>150</v>
      </c>
      <c r="F5" s="418"/>
      <c r="G5" s="418"/>
      <c r="H5" s="419"/>
      <c r="I5" s="19" t="s">
        <v>31</v>
      </c>
      <c r="J5" s="427" t="s">
        <v>58</v>
      </c>
      <c r="K5" s="427"/>
      <c r="L5" s="427"/>
      <c r="M5" s="427"/>
      <c r="N5" s="427"/>
    </row>
    <row r="6" spans="1:16" ht="17.25">
      <c r="A6" s="33"/>
      <c r="B6" s="33"/>
      <c r="C6" s="33"/>
      <c r="D6" s="18"/>
      <c r="E6" s="18"/>
      <c r="F6" s="18"/>
      <c r="G6" s="19"/>
      <c r="H6" s="19" t="s">
        <v>31</v>
      </c>
      <c r="I6" s="19"/>
      <c r="J6" s="427" t="s">
        <v>57</v>
      </c>
      <c r="K6" s="427"/>
      <c r="L6" s="427"/>
      <c r="M6" s="427"/>
      <c r="N6" s="34"/>
    </row>
    <row r="7" spans="1:16" ht="17.25">
      <c r="A7" s="149"/>
      <c r="B7" s="149"/>
      <c r="C7" s="149"/>
      <c r="D7" s="18"/>
      <c r="E7" s="18"/>
      <c r="F7" s="18"/>
      <c r="G7" s="19"/>
      <c r="H7" s="19"/>
      <c r="I7" s="19"/>
      <c r="J7" s="427"/>
      <c r="K7" s="427"/>
      <c r="L7" s="427"/>
      <c r="M7" s="427"/>
      <c r="N7" s="150"/>
    </row>
    <row r="8" spans="1:16" ht="8.25" customHeight="1">
      <c r="A8" s="109"/>
      <c r="B8" s="109"/>
      <c r="C8" s="109"/>
      <c r="D8" s="18"/>
      <c r="E8" s="18"/>
      <c r="F8" s="18"/>
      <c r="G8" s="19"/>
      <c r="H8" s="19"/>
      <c r="I8" s="19"/>
      <c r="J8" s="19"/>
      <c r="K8" s="154"/>
      <c r="L8" s="155"/>
      <c r="M8" s="155"/>
      <c r="N8" s="110"/>
    </row>
    <row r="9" spans="1:16" ht="19.5">
      <c r="A9" s="420" t="s">
        <v>25</v>
      </c>
      <c r="B9" s="421"/>
      <c r="C9" s="421"/>
      <c r="D9" s="421"/>
      <c r="E9" s="422"/>
      <c r="G9" s="423" t="s">
        <v>53</v>
      </c>
      <c r="H9" s="423"/>
      <c r="I9" s="423"/>
      <c r="J9" s="423"/>
      <c r="K9" s="423"/>
      <c r="L9" s="356" t="s">
        <v>50</v>
      </c>
      <c r="M9" s="233" t="s">
        <v>51</v>
      </c>
    </row>
    <row r="10" spans="1:16">
      <c r="A10" s="3" t="s">
        <v>0</v>
      </c>
      <c r="B10" s="3" t="s">
        <v>1</v>
      </c>
      <c r="C10" s="4" t="s">
        <v>2</v>
      </c>
      <c r="D10" s="36" t="s">
        <v>3</v>
      </c>
      <c r="E10" s="3" t="s">
        <v>4</v>
      </c>
      <c r="G10" s="3" t="s">
        <v>0</v>
      </c>
      <c r="H10" s="3" t="s">
        <v>1</v>
      </c>
      <c r="I10" s="3" t="s">
        <v>2</v>
      </c>
      <c r="J10" s="36" t="s">
        <v>3</v>
      </c>
      <c r="K10" s="3" t="s">
        <v>4</v>
      </c>
      <c r="L10" s="428" t="s">
        <v>49</v>
      </c>
      <c r="M10" s="428">
        <f>C17</f>
        <v>423</v>
      </c>
      <c r="P10" s="9"/>
    </row>
    <row r="11" spans="1:16">
      <c r="A11" s="5" t="s">
        <v>5</v>
      </c>
      <c r="B11" s="113" t="s">
        <v>46</v>
      </c>
      <c r="C11" s="6">
        <v>10</v>
      </c>
      <c r="D11" s="5">
        <v>9</v>
      </c>
      <c r="E11" s="5">
        <f>C11-D11</f>
        <v>1</v>
      </c>
      <c r="G11" s="355" t="s">
        <v>5</v>
      </c>
      <c r="H11" s="115" t="s">
        <v>10</v>
      </c>
      <c r="I11" s="94">
        <v>85</v>
      </c>
      <c r="J11" s="355">
        <v>70</v>
      </c>
      <c r="K11" s="355">
        <f>I11-J11</f>
        <v>15</v>
      </c>
      <c r="L11" s="428"/>
      <c r="M11" s="428"/>
      <c r="P11" s="9"/>
    </row>
    <row r="12" spans="1:16">
      <c r="A12" s="7" t="s">
        <v>6</v>
      </c>
      <c r="B12" s="114" t="s">
        <v>7</v>
      </c>
      <c r="C12" s="6">
        <v>3</v>
      </c>
      <c r="D12" s="5">
        <v>3</v>
      </c>
      <c r="E12" s="5">
        <f t="shared" ref="E12:E14" si="0">C12-D12</f>
        <v>0</v>
      </c>
      <c r="G12" s="357" t="s">
        <v>6</v>
      </c>
      <c r="H12" s="116" t="s">
        <v>11</v>
      </c>
      <c r="I12" s="94">
        <v>581</v>
      </c>
      <c r="J12" s="355">
        <v>484</v>
      </c>
      <c r="K12" s="355">
        <f t="shared" ref="K12" si="1">I12-J12</f>
        <v>97</v>
      </c>
      <c r="L12" s="428" t="s">
        <v>47</v>
      </c>
      <c r="M12" s="428">
        <f>C71</f>
        <v>96</v>
      </c>
      <c r="P12" s="9"/>
    </row>
    <row r="13" spans="1:16" ht="26.25" customHeight="1">
      <c r="A13" s="199" t="s">
        <v>8</v>
      </c>
      <c r="B13" s="151" t="s">
        <v>64</v>
      </c>
      <c r="C13" s="152">
        <v>2</v>
      </c>
      <c r="D13" s="131">
        <v>2</v>
      </c>
      <c r="E13" s="131">
        <f>C13-D13</f>
        <v>0</v>
      </c>
      <c r="G13" s="355" t="s">
        <v>8</v>
      </c>
      <c r="H13" s="117" t="s">
        <v>24</v>
      </c>
      <c r="I13" s="94">
        <v>1</v>
      </c>
      <c r="J13" s="355">
        <v>0</v>
      </c>
      <c r="K13" s="355">
        <f>I13-J13</f>
        <v>1</v>
      </c>
      <c r="L13" s="428"/>
      <c r="M13" s="428"/>
    </row>
    <row r="14" spans="1:16" ht="27.75" customHeight="1">
      <c r="A14" s="199" t="s">
        <v>12</v>
      </c>
      <c r="B14" s="116" t="s">
        <v>60</v>
      </c>
      <c r="C14" s="94">
        <v>2</v>
      </c>
      <c r="D14" s="131">
        <v>1</v>
      </c>
      <c r="E14" s="131">
        <f t="shared" si="0"/>
        <v>1</v>
      </c>
      <c r="G14" s="355" t="s">
        <v>12</v>
      </c>
      <c r="H14" s="117" t="s">
        <v>13</v>
      </c>
      <c r="I14" s="94">
        <v>37</v>
      </c>
      <c r="J14" s="355">
        <v>0</v>
      </c>
      <c r="K14" s="355">
        <f>I14-J14</f>
        <v>37</v>
      </c>
      <c r="L14" s="429" t="s">
        <v>52</v>
      </c>
      <c r="M14" s="428">
        <f>C81</f>
        <v>33</v>
      </c>
    </row>
    <row r="15" spans="1:16" ht="24.75" customHeight="1">
      <c r="A15" s="199" t="s">
        <v>59</v>
      </c>
      <c r="B15" s="116" t="s">
        <v>61</v>
      </c>
      <c r="C15" s="157">
        <v>2</v>
      </c>
      <c r="D15" s="158">
        <v>2</v>
      </c>
      <c r="E15" s="131">
        <f>C15-D15</f>
        <v>0</v>
      </c>
      <c r="G15" s="5"/>
      <c r="H15" s="201" t="s">
        <v>9</v>
      </c>
      <c r="I15" s="94">
        <f>SUM(I11:I14)</f>
        <v>704</v>
      </c>
      <c r="J15" s="355">
        <f>SUM(J11:J14)</f>
        <v>554</v>
      </c>
      <c r="K15" s="234">
        <f>SUM(K11:K14)</f>
        <v>150</v>
      </c>
      <c r="L15" s="429"/>
      <c r="M15" s="428"/>
    </row>
    <row r="16" spans="1:16" ht="18" customHeight="1">
      <c r="A16" s="153"/>
      <c r="B16" s="156" t="s">
        <v>9</v>
      </c>
      <c r="C16" s="201">
        <f>SUM(C11:C15)</f>
        <v>19</v>
      </c>
      <c r="D16" s="157">
        <f>SUM(D11:D15)</f>
        <v>17</v>
      </c>
      <c r="E16" s="200">
        <f>SUM(E11:E15)</f>
        <v>2</v>
      </c>
      <c r="F16" s="92"/>
      <c r="G16" s="8"/>
      <c r="H16" s="8"/>
      <c r="I16" s="251"/>
      <c r="J16" s="358"/>
      <c r="K16" s="359"/>
      <c r="L16" s="71"/>
      <c r="M16" s="8"/>
    </row>
    <row r="17" spans="1:19" ht="10.5" customHeight="1">
      <c r="A17" s="399" t="s">
        <v>55</v>
      </c>
      <c r="B17" s="400"/>
      <c r="C17" s="432">
        <f>N20+N22+N24+N26+N28+N30+N32+N37+N39+N41+N43+N45+N47+N49+N51+N53+N55+N57+N59+N61+N63+N65</f>
        <v>423</v>
      </c>
      <c r="D17" s="175"/>
      <c r="E17" s="175"/>
      <c r="F17" s="175"/>
      <c r="G17" s="175"/>
      <c r="H17" s="424" t="s">
        <v>48</v>
      </c>
      <c r="I17" s="425"/>
      <c r="J17" s="8"/>
      <c r="K17" s="8"/>
      <c r="L17" s="8"/>
      <c r="M17" s="8"/>
    </row>
    <row r="18" spans="1:19" ht="17.25" customHeight="1" thickBot="1">
      <c r="A18" s="399"/>
      <c r="B18" s="400"/>
      <c r="C18" s="432"/>
      <c r="D18" s="175"/>
      <c r="E18" s="175"/>
      <c r="F18" s="175"/>
      <c r="G18" s="175"/>
      <c r="H18" s="426"/>
      <c r="I18" s="426"/>
      <c r="J18" s="8"/>
      <c r="K18" s="8"/>
      <c r="L18" s="8"/>
      <c r="M18" s="8"/>
    </row>
    <row r="19" spans="1:19" ht="19.5" customHeight="1" thickBot="1">
      <c r="A19" s="132" t="s">
        <v>0</v>
      </c>
      <c r="B19" s="133" t="s">
        <v>23</v>
      </c>
      <c r="C19" s="134" t="s">
        <v>74</v>
      </c>
      <c r="D19" s="181" t="s">
        <v>14</v>
      </c>
      <c r="E19" s="135" t="s">
        <v>15</v>
      </c>
      <c r="F19" s="145" t="s">
        <v>16</v>
      </c>
      <c r="G19" s="136" t="s">
        <v>17</v>
      </c>
      <c r="H19" s="220" t="s">
        <v>54</v>
      </c>
      <c r="I19" s="146" t="s">
        <v>18</v>
      </c>
      <c r="J19" s="137" t="s">
        <v>19</v>
      </c>
      <c r="K19" s="133" t="s">
        <v>20</v>
      </c>
      <c r="L19" s="166" t="s">
        <v>28</v>
      </c>
      <c r="M19" s="167" t="s">
        <v>21</v>
      </c>
      <c r="N19" s="138" t="s">
        <v>2</v>
      </c>
    </row>
    <row r="20" spans="1:19" ht="13.5" customHeight="1">
      <c r="A20" s="379">
        <v>1</v>
      </c>
      <c r="B20" s="435" t="s">
        <v>62</v>
      </c>
      <c r="C20" s="433" t="s">
        <v>43</v>
      </c>
      <c r="D20" s="125"/>
      <c r="E20" s="97">
        <v>7</v>
      </c>
      <c r="F20" s="142">
        <v>3</v>
      </c>
      <c r="G20" s="106"/>
      <c r="H20" s="184"/>
      <c r="I20" s="129"/>
      <c r="J20" s="108"/>
      <c r="K20" s="11" t="s">
        <v>27</v>
      </c>
      <c r="L20" s="222">
        <f>SUM(D20:K20)</f>
        <v>10</v>
      </c>
      <c r="M20" s="148"/>
      <c r="N20" s="411">
        <f>L20+M21</f>
        <v>13</v>
      </c>
      <c r="O20" s="16"/>
      <c r="P20" s="8"/>
      <c r="Q20" s="8"/>
      <c r="R20" s="8"/>
      <c r="S20" s="8"/>
    </row>
    <row r="21" spans="1:19" ht="14.25" customHeight="1" thickBot="1">
      <c r="A21" s="406"/>
      <c r="B21" s="436"/>
      <c r="C21" s="434"/>
      <c r="D21" s="210"/>
      <c r="E21" s="35"/>
      <c r="F21" s="141">
        <v>1</v>
      </c>
      <c r="G21" s="101">
        <v>1</v>
      </c>
      <c r="H21" s="205">
        <v>1</v>
      </c>
      <c r="I21" s="225"/>
      <c r="J21" s="49"/>
      <c r="K21" s="69" t="s">
        <v>22</v>
      </c>
      <c r="L21" s="49"/>
      <c r="M21" s="14">
        <f>SUM(E21:J21)</f>
        <v>3</v>
      </c>
      <c r="N21" s="430"/>
      <c r="O21" s="16"/>
      <c r="P21" s="8"/>
      <c r="Q21" s="8"/>
      <c r="R21" s="8"/>
      <c r="S21" s="8"/>
    </row>
    <row r="22" spans="1:19" ht="14.25" customHeight="1">
      <c r="A22" s="379">
        <v>2</v>
      </c>
      <c r="B22" s="463" t="s">
        <v>145</v>
      </c>
      <c r="C22" s="495" t="s">
        <v>44</v>
      </c>
      <c r="D22" s="108"/>
      <c r="E22" s="97">
        <v>10</v>
      </c>
      <c r="F22" s="142">
        <v>4</v>
      </c>
      <c r="G22" s="102">
        <v>3</v>
      </c>
      <c r="H22" s="184">
        <v>1</v>
      </c>
      <c r="I22" s="99">
        <v>2</v>
      </c>
      <c r="J22" s="104"/>
      <c r="K22" s="11" t="s">
        <v>27</v>
      </c>
      <c r="L22" s="108">
        <f>SUM(D22:K22)</f>
        <v>20</v>
      </c>
      <c r="M22" s="108"/>
      <c r="N22" s="413">
        <f>L22+M23</f>
        <v>23</v>
      </c>
      <c r="O22" s="16"/>
      <c r="P22" s="8"/>
      <c r="Q22" s="8"/>
      <c r="R22" s="8"/>
      <c r="S22" s="8"/>
    </row>
    <row r="23" spans="1:19" ht="14.25" customHeight="1" thickBot="1">
      <c r="A23" s="380"/>
      <c r="B23" s="464"/>
      <c r="C23" s="387"/>
      <c r="D23" s="107"/>
      <c r="E23" s="95"/>
      <c r="F23" s="140">
        <v>2</v>
      </c>
      <c r="G23" s="100">
        <v>1</v>
      </c>
      <c r="H23" s="185"/>
      <c r="I23" s="103"/>
      <c r="J23" s="13"/>
      <c r="K23" s="12" t="s">
        <v>22</v>
      </c>
      <c r="L23" s="13"/>
      <c r="M23" s="107">
        <f>SUM(D23:J23)</f>
        <v>3</v>
      </c>
      <c r="N23" s="414"/>
      <c r="O23" s="16"/>
      <c r="P23" s="8"/>
      <c r="Q23" s="8"/>
      <c r="R23" s="8"/>
      <c r="S23" s="8"/>
    </row>
    <row r="24" spans="1:19" ht="14.25" customHeight="1">
      <c r="A24" s="412">
        <v>3</v>
      </c>
      <c r="B24" s="403" t="s">
        <v>65</v>
      </c>
      <c r="C24" s="492" t="s">
        <v>73</v>
      </c>
      <c r="D24" s="341"/>
      <c r="E24" s="96">
        <v>10</v>
      </c>
      <c r="F24" s="139">
        <v>10</v>
      </c>
      <c r="G24" s="124">
        <v>3</v>
      </c>
      <c r="H24" s="198">
        <v>1</v>
      </c>
      <c r="I24" s="174"/>
      <c r="J24" s="112"/>
      <c r="K24" s="68" t="s">
        <v>27</v>
      </c>
      <c r="L24" s="91">
        <f>SUM(D24:K24)</f>
        <v>24</v>
      </c>
      <c r="M24" s="91"/>
      <c r="N24" s="409">
        <f>L24+M25</f>
        <v>34</v>
      </c>
      <c r="O24" s="16"/>
      <c r="P24" s="8"/>
      <c r="Q24" s="8"/>
      <c r="R24" s="8"/>
      <c r="S24" s="8"/>
    </row>
    <row r="25" spans="1:19" ht="12.75" customHeight="1" thickBot="1">
      <c r="A25" s="406"/>
      <c r="B25" s="402"/>
      <c r="C25" s="493"/>
      <c r="D25" s="302"/>
      <c r="E25" s="95"/>
      <c r="F25" s="140">
        <v>6</v>
      </c>
      <c r="G25" s="100">
        <v>4</v>
      </c>
      <c r="H25" s="183"/>
      <c r="I25" s="103"/>
      <c r="J25" s="13"/>
      <c r="K25" s="12" t="s">
        <v>22</v>
      </c>
      <c r="L25" s="13"/>
      <c r="M25" s="107">
        <f>SUM(D25:L25)</f>
        <v>10</v>
      </c>
      <c r="N25" s="410"/>
      <c r="O25" s="16"/>
      <c r="P25" s="8"/>
      <c r="Q25" s="8"/>
      <c r="R25" s="8"/>
      <c r="S25" s="8"/>
    </row>
    <row r="26" spans="1:19" ht="19.5" customHeight="1" thickBot="1">
      <c r="A26" s="379">
        <v>4</v>
      </c>
      <c r="B26" s="401" t="s">
        <v>66</v>
      </c>
      <c r="C26" s="493"/>
      <c r="D26" s="301"/>
      <c r="E26" s="97">
        <v>36</v>
      </c>
      <c r="F26" s="142">
        <v>20</v>
      </c>
      <c r="G26" s="342">
        <v>3</v>
      </c>
      <c r="H26" s="184">
        <v>1</v>
      </c>
      <c r="I26" s="99"/>
      <c r="J26" s="108"/>
      <c r="K26" s="11" t="s">
        <v>27</v>
      </c>
      <c r="L26" s="108">
        <f>SUM(D26:K26)</f>
        <v>60</v>
      </c>
      <c r="M26" s="108"/>
      <c r="N26" s="411">
        <f>L26+M27</f>
        <v>73</v>
      </c>
      <c r="O26" s="16"/>
      <c r="P26" s="283"/>
      <c r="Q26" s="398"/>
      <c r="R26" s="283"/>
      <c r="S26" s="283"/>
    </row>
    <row r="27" spans="1:19" ht="15.75" customHeight="1" thickBot="1">
      <c r="A27" s="406"/>
      <c r="B27" s="402"/>
      <c r="C27" s="494"/>
      <c r="D27" s="302"/>
      <c r="E27" s="95"/>
      <c r="F27" s="140">
        <v>9</v>
      </c>
      <c r="G27" s="343">
        <v>4</v>
      </c>
      <c r="H27" s="183"/>
      <c r="I27" s="98"/>
      <c r="J27" s="13"/>
      <c r="K27" s="12" t="s">
        <v>22</v>
      </c>
      <c r="L27" s="13"/>
      <c r="M27" s="107">
        <f>SUM(D27:L27)</f>
        <v>13</v>
      </c>
      <c r="N27" s="410"/>
      <c r="O27" s="16"/>
      <c r="P27" s="283"/>
      <c r="Q27" s="398"/>
      <c r="R27" s="283"/>
      <c r="S27" s="283"/>
    </row>
    <row r="28" spans="1:19" ht="19.5" customHeight="1">
      <c r="A28" s="379">
        <v>5</v>
      </c>
      <c r="B28" s="360" t="s">
        <v>138</v>
      </c>
      <c r="C28" s="367" t="s">
        <v>39</v>
      </c>
      <c r="D28" s="221"/>
      <c r="E28" s="118">
        <v>4</v>
      </c>
      <c r="F28" s="143"/>
      <c r="G28" s="106"/>
      <c r="H28" s="184"/>
      <c r="I28" s="129"/>
      <c r="J28" s="224"/>
      <c r="K28" s="11" t="s">
        <v>27</v>
      </c>
      <c r="L28" s="231">
        <f>SUM(D28:J28)</f>
        <v>4</v>
      </c>
      <c r="M28" s="104"/>
      <c r="N28" s="411">
        <f>L28+M29</f>
        <v>9</v>
      </c>
      <c r="O28" s="16"/>
      <c r="P28" s="283"/>
      <c r="Q28" s="398"/>
      <c r="R28" s="283"/>
      <c r="S28" s="283"/>
    </row>
    <row r="29" spans="1:19" ht="15.75" customHeight="1" thickBot="1">
      <c r="A29" s="406"/>
      <c r="B29" s="361"/>
      <c r="C29" s="368"/>
      <c r="D29" s="196"/>
      <c r="E29" s="119"/>
      <c r="F29" s="144">
        <v>5</v>
      </c>
      <c r="G29" s="100"/>
      <c r="H29" s="185"/>
      <c r="I29" s="98"/>
      <c r="J29" s="107"/>
      <c r="K29" s="12" t="s">
        <v>22</v>
      </c>
      <c r="L29" s="107"/>
      <c r="M29" s="107">
        <f>SUM(D29:J29)</f>
        <v>5</v>
      </c>
      <c r="N29" s="410"/>
      <c r="O29" s="16"/>
      <c r="Q29" s="398"/>
      <c r="R29" s="283"/>
      <c r="S29" s="283"/>
    </row>
    <row r="30" spans="1:19" ht="19.5" customHeight="1">
      <c r="A30" s="379">
        <v>6</v>
      </c>
      <c r="B30" s="404" t="s">
        <v>76</v>
      </c>
      <c r="C30" s="368"/>
      <c r="D30" s="125"/>
      <c r="E30" s="118"/>
      <c r="F30" s="143"/>
      <c r="G30" s="106"/>
      <c r="H30" s="184"/>
      <c r="I30" s="99"/>
      <c r="J30" s="108"/>
      <c r="K30" s="11" t="s">
        <v>27</v>
      </c>
      <c r="L30" s="108">
        <f>SUM(D30:K30)</f>
        <v>0</v>
      </c>
      <c r="M30" s="104"/>
      <c r="N30" s="370">
        <f>L30+M31</f>
        <v>0</v>
      </c>
      <c r="O30" s="16"/>
      <c r="Q30" s="283"/>
      <c r="R30" s="283"/>
      <c r="S30" s="283"/>
    </row>
    <row r="31" spans="1:19" ht="19.5" customHeight="1" thickBot="1">
      <c r="A31" s="406"/>
      <c r="B31" s="405"/>
      <c r="C31" s="368"/>
      <c r="D31" s="196"/>
      <c r="E31" s="119"/>
      <c r="F31" s="144"/>
      <c r="G31" s="105"/>
      <c r="H31" s="185"/>
      <c r="I31" s="130"/>
      <c r="J31" s="123"/>
      <c r="K31" s="12" t="s">
        <v>22</v>
      </c>
      <c r="L31" s="13"/>
      <c r="M31" s="107">
        <f>SUM(D31:J31)</f>
        <v>0</v>
      </c>
      <c r="N31" s="371"/>
      <c r="O31" s="16"/>
      <c r="P31" s="283"/>
      <c r="Q31" s="283"/>
      <c r="R31" s="283"/>
      <c r="S31" s="283"/>
    </row>
    <row r="32" spans="1:19" ht="13.5" customHeight="1">
      <c r="A32" s="407">
        <v>7</v>
      </c>
      <c r="B32" s="376" t="s">
        <v>77</v>
      </c>
      <c r="C32" s="368"/>
      <c r="D32" s="301"/>
      <c r="E32" s="118"/>
      <c r="F32" s="143"/>
      <c r="G32" s="106"/>
      <c r="H32" s="184"/>
      <c r="I32" s="99"/>
      <c r="J32" s="108"/>
      <c r="K32" s="11" t="s">
        <v>27</v>
      </c>
      <c r="L32" s="108">
        <f>SUM(D32:K32)</f>
        <v>0</v>
      </c>
      <c r="M32" s="108"/>
      <c r="N32" s="370">
        <f>L32+M33</f>
        <v>0</v>
      </c>
      <c r="P32" s="8"/>
      <c r="Q32" s="8"/>
      <c r="R32" s="8"/>
      <c r="S32" s="8"/>
    </row>
    <row r="33" spans="1:14" ht="15" customHeight="1" thickBot="1">
      <c r="A33" s="408"/>
      <c r="B33" s="377"/>
      <c r="C33" s="369"/>
      <c r="D33" s="302"/>
      <c r="E33" s="119"/>
      <c r="F33" s="144"/>
      <c r="G33" s="105"/>
      <c r="H33" s="185"/>
      <c r="I33" s="98"/>
      <c r="J33" s="107"/>
      <c r="K33" s="12" t="s">
        <v>22</v>
      </c>
      <c r="L33" s="107"/>
      <c r="M33" s="107">
        <f>SUM(D33:L33)</f>
        <v>0</v>
      </c>
      <c r="N33" s="371"/>
    </row>
    <row r="34" spans="1:14" ht="15" customHeight="1" thickBot="1">
      <c r="A34" s="237"/>
      <c r="B34" s="239"/>
      <c r="C34" s="111"/>
      <c r="D34" s="238"/>
      <c r="E34" s="326"/>
      <c r="F34" s="24"/>
      <c r="G34" s="327"/>
      <c r="H34" s="325"/>
      <c r="I34" s="255"/>
      <c r="J34" s="238"/>
      <c r="K34" s="17"/>
      <c r="L34" s="238"/>
      <c r="M34" s="238"/>
      <c r="N34" s="236"/>
    </row>
    <row r="35" spans="1:14" ht="15" customHeight="1" thickBot="1">
      <c r="A35" s="237"/>
      <c r="B35" s="239"/>
      <c r="C35" s="111"/>
      <c r="D35" s="238"/>
      <c r="E35" s="326"/>
      <c r="F35" s="24"/>
      <c r="G35" s="327"/>
      <c r="H35" s="372" t="s">
        <v>48</v>
      </c>
      <c r="I35" s="373"/>
      <c r="J35" s="238"/>
      <c r="K35" s="17"/>
      <c r="L35" s="238"/>
      <c r="M35" s="238"/>
      <c r="N35" s="236"/>
    </row>
    <row r="36" spans="1:14" ht="15" customHeight="1" thickBot="1">
      <c r="A36" s="263" t="s">
        <v>0</v>
      </c>
      <c r="B36" s="264" t="s">
        <v>23</v>
      </c>
      <c r="C36" s="265" t="s">
        <v>74</v>
      </c>
      <c r="D36" s="266" t="s">
        <v>14</v>
      </c>
      <c r="E36" s="267" t="s">
        <v>15</v>
      </c>
      <c r="F36" s="268" t="s">
        <v>16</v>
      </c>
      <c r="G36" s="269" t="s">
        <v>17</v>
      </c>
      <c r="H36" s="275" t="s">
        <v>54</v>
      </c>
      <c r="I36" s="270" t="s">
        <v>18</v>
      </c>
      <c r="J36" s="271" t="s">
        <v>19</v>
      </c>
      <c r="K36" s="264" t="s">
        <v>20</v>
      </c>
      <c r="L36" s="272" t="s">
        <v>28</v>
      </c>
      <c r="M36" s="273" t="s">
        <v>21</v>
      </c>
      <c r="N36" s="274" t="s">
        <v>2</v>
      </c>
    </row>
    <row r="37" spans="1:14" ht="15" customHeight="1">
      <c r="A37" s="374">
        <v>8</v>
      </c>
      <c r="B37" s="381" t="s">
        <v>78</v>
      </c>
      <c r="C37" s="367" t="s">
        <v>39</v>
      </c>
      <c r="D37" s="173"/>
      <c r="E37" s="259"/>
      <c r="F37" s="260"/>
      <c r="G37" s="228"/>
      <c r="H37" s="198">
        <v>3</v>
      </c>
      <c r="I37" s="261"/>
      <c r="J37" s="112"/>
      <c r="K37" s="68" t="s">
        <v>27</v>
      </c>
      <c r="L37" s="91">
        <f>SUM(D37:J37)</f>
        <v>3</v>
      </c>
      <c r="M37" s="91"/>
      <c r="N37" s="363">
        <f>L37+M38</f>
        <v>3</v>
      </c>
    </row>
    <row r="38" spans="1:14" ht="15" customHeight="1" thickBot="1">
      <c r="A38" s="375"/>
      <c r="B38" s="382"/>
      <c r="C38" s="368"/>
      <c r="D38" s="170"/>
      <c r="E38" s="119"/>
      <c r="F38" s="144"/>
      <c r="G38" s="105"/>
      <c r="H38" s="185"/>
      <c r="I38" s="103"/>
      <c r="J38" s="13"/>
      <c r="K38" s="12" t="s">
        <v>22</v>
      </c>
      <c r="L38" s="13"/>
      <c r="M38" s="107">
        <f>SUM(D38:J38)</f>
        <v>0</v>
      </c>
      <c r="N38" s="364"/>
    </row>
    <row r="39" spans="1:14" ht="15" customHeight="1">
      <c r="A39" s="378">
        <v>9</v>
      </c>
      <c r="B39" s="388" t="s">
        <v>79</v>
      </c>
      <c r="C39" s="368"/>
      <c r="D39" s="197"/>
      <c r="E39" s="259"/>
      <c r="F39" s="260">
        <v>1</v>
      </c>
      <c r="G39" s="228"/>
      <c r="H39" s="198">
        <v>3</v>
      </c>
      <c r="I39" s="261"/>
      <c r="J39" s="112"/>
      <c r="K39" s="68" t="s">
        <v>27</v>
      </c>
      <c r="L39" s="91">
        <f>SUM(D39:K39)</f>
        <v>4</v>
      </c>
      <c r="M39" s="91"/>
      <c r="N39" s="363">
        <f>L39+M40</f>
        <v>7</v>
      </c>
    </row>
    <row r="40" spans="1:14" ht="15" customHeight="1" thickBot="1">
      <c r="A40" s="378"/>
      <c r="B40" s="389"/>
      <c r="C40" s="368"/>
      <c r="D40" s="169"/>
      <c r="E40" s="241"/>
      <c r="F40" s="242">
        <v>3</v>
      </c>
      <c r="G40" s="219"/>
      <c r="H40" s="205"/>
      <c r="I40" s="225"/>
      <c r="J40" s="49"/>
      <c r="K40" s="69" t="s">
        <v>22</v>
      </c>
      <c r="L40" s="49"/>
      <c r="M40" s="14">
        <f>SUM(D40:J40)</f>
        <v>3</v>
      </c>
      <c r="N40" s="363"/>
    </row>
    <row r="41" spans="1:14" ht="15" customHeight="1">
      <c r="A41" s="379">
        <v>10</v>
      </c>
      <c r="B41" s="404" t="s">
        <v>148</v>
      </c>
      <c r="C41" s="368"/>
      <c r="D41" s="168"/>
      <c r="E41" s="118"/>
      <c r="F41" s="143">
        <v>2</v>
      </c>
      <c r="G41" s="106"/>
      <c r="H41" s="184">
        <v>3</v>
      </c>
      <c r="I41" s="99"/>
      <c r="J41" s="104"/>
      <c r="K41" s="11" t="s">
        <v>27</v>
      </c>
      <c r="L41" s="108">
        <f>SUM(D41:J41)</f>
        <v>5</v>
      </c>
      <c r="M41" s="108"/>
      <c r="N41" s="362">
        <f>L41+M42</f>
        <v>5</v>
      </c>
    </row>
    <row r="42" spans="1:14" ht="15" customHeight="1" thickBot="1">
      <c r="A42" s="380"/>
      <c r="B42" s="405"/>
      <c r="C42" s="369"/>
      <c r="D42" s="170"/>
      <c r="E42" s="119"/>
      <c r="F42" s="144"/>
      <c r="G42" s="105"/>
      <c r="H42" s="185"/>
      <c r="I42" s="103"/>
      <c r="J42" s="13"/>
      <c r="K42" s="12" t="s">
        <v>22</v>
      </c>
      <c r="L42" s="13"/>
      <c r="M42" s="107">
        <f>SUM(D42:J42)</f>
        <v>0</v>
      </c>
      <c r="N42" s="364"/>
    </row>
    <row r="43" spans="1:14" ht="15" customHeight="1">
      <c r="A43" s="378">
        <v>11</v>
      </c>
      <c r="B43" s="390" t="s">
        <v>72</v>
      </c>
      <c r="C43" s="385" t="s">
        <v>84</v>
      </c>
      <c r="D43" s="91"/>
      <c r="E43" s="259">
        <v>4</v>
      </c>
      <c r="F43" s="260"/>
      <c r="G43" s="228"/>
      <c r="H43" s="198">
        <v>3</v>
      </c>
      <c r="I43" s="174"/>
      <c r="J43" s="91"/>
      <c r="K43" s="68" t="s">
        <v>27</v>
      </c>
      <c r="L43" s="91">
        <f>SUM(D43:K43)</f>
        <v>7</v>
      </c>
      <c r="M43" s="91"/>
      <c r="N43" s="363">
        <f>L43+M44</f>
        <v>10</v>
      </c>
    </row>
    <row r="44" spans="1:14" ht="15" customHeight="1" thickBot="1">
      <c r="A44" s="383"/>
      <c r="B44" s="391"/>
      <c r="C44" s="385"/>
      <c r="D44" s="13"/>
      <c r="E44" s="119"/>
      <c r="F44" s="144">
        <v>3</v>
      </c>
      <c r="G44" s="105"/>
      <c r="H44" s="185"/>
      <c r="I44" s="103"/>
      <c r="J44" s="13"/>
      <c r="K44" s="69" t="s">
        <v>22</v>
      </c>
      <c r="L44" s="13"/>
      <c r="M44" s="107">
        <f>SUM(D44:L44)</f>
        <v>3</v>
      </c>
      <c r="N44" s="364"/>
    </row>
    <row r="45" spans="1:14" ht="13.5" customHeight="1">
      <c r="A45" s="374">
        <v>12</v>
      </c>
      <c r="B45" s="390" t="s">
        <v>75</v>
      </c>
      <c r="C45" s="385"/>
      <c r="D45" s="108"/>
      <c r="E45" s="97"/>
      <c r="F45" s="142">
        <v>3</v>
      </c>
      <c r="G45" s="106"/>
      <c r="H45" s="184"/>
      <c r="I45" s="99"/>
      <c r="J45" s="108"/>
      <c r="K45" s="11" t="s">
        <v>27</v>
      </c>
      <c r="L45" s="108">
        <f>SUM(D45:K45)</f>
        <v>3</v>
      </c>
      <c r="M45" s="108"/>
      <c r="N45" s="362">
        <f>L45+M46</f>
        <v>3</v>
      </c>
    </row>
    <row r="46" spans="1:14" ht="14.25" customHeight="1" thickBot="1">
      <c r="A46" s="375"/>
      <c r="B46" s="391"/>
      <c r="C46" s="392"/>
      <c r="D46" s="49"/>
      <c r="E46" s="35"/>
      <c r="F46" s="141"/>
      <c r="G46" s="219"/>
      <c r="H46" s="205"/>
      <c r="I46" s="176"/>
      <c r="J46" s="49"/>
      <c r="K46" s="69" t="s">
        <v>22</v>
      </c>
      <c r="L46" s="49"/>
      <c r="M46" s="14">
        <f>SUM(D46:L46)</f>
        <v>0</v>
      </c>
      <c r="N46" s="363"/>
    </row>
    <row r="47" spans="1:14" ht="14.25" customHeight="1">
      <c r="A47" s="378">
        <v>13</v>
      </c>
      <c r="B47" s="393" t="s">
        <v>67</v>
      </c>
      <c r="C47" s="384" t="s">
        <v>85</v>
      </c>
      <c r="D47" s="108"/>
      <c r="E47" s="97">
        <v>10</v>
      </c>
      <c r="F47" s="142">
        <v>5</v>
      </c>
      <c r="G47" s="106">
        <v>3</v>
      </c>
      <c r="H47" s="184">
        <v>2</v>
      </c>
      <c r="I47" s="99">
        <v>3</v>
      </c>
      <c r="J47" s="108"/>
      <c r="K47" s="11" t="s">
        <v>27</v>
      </c>
      <c r="L47" s="108">
        <f>SUM(E47:K47)</f>
        <v>23</v>
      </c>
      <c r="M47" s="108"/>
      <c r="N47" s="362">
        <f>L47+M48</f>
        <v>24</v>
      </c>
    </row>
    <row r="48" spans="1:14" ht="14.25" customHeight="1" thickBot="1">
      <c r="A48" s="383"/>
      <c r="B48" s="394"/>
      <c r="C48" s="385"/>
      <c r="D48" s="13"/>
      <c r="E48" s="95"/>
      <c r="F48" s="140">
        <v>1</v>
      </c>
      <c r="G48" s="105"/>
      <c r="H48" s="185"/>
      <c r="I48" s="98"/>
      <c r="J48" s="13"/>
      <c r="K48" s="12" t="s">
        <v>22</v>
      </c>
      <c r="L48" s="13"/>
      <c r="M48" s="107">
        <f>SUM(D48:L48)</f>
        <v>1</v>
      </c>
      <c r="N48" s="364"/>
    </row>
    <row r="49" spans="1:18" ht="14.25" customHeight="1">
      <c r="A49" s="374">
        <v>14</v>
      </c>
      <c r="B49" s="435" t="s">
        <v>68</v>
      </c>
      <c r="C49" s="386"/>
      <c r="D49" s="91"/>
      <c r="E49" s="96">
        <v>32</v>
      </c>
      <c r="F49" s="139">
        <v>4</v>
      </c>
      <c r="G49" s="228">
        <v>2</v>
      </c>
      <c r="H49" s="198"/>
      <c r="I49" s="174"/>
      <c r="J49" s="91"/>
      <c r="K49" s="68" t="s">
        <v>27</v>
      </c>
      <c r="L49" s="91">
        <f>SUM(D49:K49)</f>
        <v>38</v>
      </c>
      <c r="M49" s="91"/>
      <c r="N49" s="363">
        <f>L49+M50</f>
        <v>45</v>
      </c>
    </row>
    <row r="50" spans="1:18" ht="14.25" customHeight="1" thickBot="1">
      <c r="A50" s="375"/>
      <c r="B50" s="488"/>
      <c r="C50" s="387"/>
      <c r="D50" s="107"/>
      <c r="E50" s="95"/>
      <c r="F50" s="140">
        <v>4</v>
      </c>
      <c r="G50" s="105">
        <v>3</v>
      </c>
      <c r="H50" s="185"/>
      <c r="I50" s="98"/>
      <c r="J50" s="13"/>
      <c r="K50" s="12" t="s">
        <v>22</v>
      </c>
      <c r="L50" s="13"/>
      <c r="M50" s="107">
        <f>SUM(D50:L50)</f>
        <v>7</v>
      </c>
      <c r="N50" s="364"/>
    </row>
    <row r="51" spans="1:18" s="8" customFormat="1" ht="13.5" customHeight="1">
      <c r="A51" s="378">
        <v>15</v>
      </c>
      <c r="B51" s="395" t="s">
        <v>69</v>
      </c>
      <c r="C51" s="486" t="s">
        <v>43</v>
      </c>
      <c r="D51" s="197"/>
      <c r="E51" s="96">
        <v>4</v>
      </c>
      <c r="F51" s="139">
        <v>4</v>
      </c>
      <c r="G51" s="124"/>
      <c r="H51" s="198">
        <v>5</v>
      </c>
      <c r="I51" s="174">
        <v>2</v>
      </c>
      <c r="J51" s="91"/>
      <c r="K51" s="68" t="s">
        <v>27</v>
      </c>
      <c r="L51" s="91">
        <f>SUM(D51:K51)</f>
        <v>15</v>
      </c>
      <c r="M51" s="91"/>
      <c r="N51" s="363">
        <f>L51+M52</f>
        <v>16</v>
      </c>
    </row>
    <row r="52" spans="1:18" s="8" customFormat="1" ht="15" customHeight="1" thickBot="1">
      <c r="A52" s="383"/>
      <c r="B52" s="396"/>
      <c r="C52" s="487"/>
      <c r="D52" s="196"/>
      <c r="E52" s="95"/>
      <c r="F52" s="140">
        <v>1</v>
      </c>
      <c r="G52" s="100"/>
      <c r="H52" s="185"/>
      <c r="I52" s="98"/>
      <c r="J52" s="13"/>
      <c r="K52" s="12" t="s">
        <v>22</v>
      </c>
      <c r="L52" s="13"/>
      <c r="M52" s="107">
        <f>SUM(D52:J52)</f>
        <v>1</v>
      </c>
      <c r="N52" s="364"/>
    </row>
    <row r="53" spans="1:18" s="8" customFormat="1" ht="16.5" customHeight="1">
      <c r="A53" s="374">
        <v>16</v>
      </c>
      <c r="B53" s="395" t="s">
        <v>71</v>
      </c>
      <c r="C53" s="487"/>
      <c r="D53" s="125"/>
      <c r="E53" s="97"/>
      <c r="F53" s="142">
        <v>4</v>
      </c>
      <c r="G53" s="102"/>
      <c r="H53" s="184">
        <v>4</v>
      </c>
      <c r="I53" s="99"/>
      <c r="J53" s="108"/>
      <c r="K53" s="11" t="s">
        <v>27</v>
      </c>
      <c r="L53" s="108">
        <f>SUM(D53:K53)</f>
        <v>8</v>
      </c>
      <c r="M53" s="108"/>
      <c r="N53" s="362">
        <f>L53+M54</f>
        <v>8</v>
      </c>
    </row>
    <row r="54" spans="1:18" s="8" customFormat="1" ht="15.75" customHeight="1" thickBot="1">
      <c r="A54" s="375"/>
      <c r="B54" s="397"/>
      <c r="C54" s="487"/>
      <c r="D54" s="208"/>
      <c r="E54" s="202"/>
      <c r="F54" s="203"/>
      <c r="G54" s="204"/>
      <c r="H54" s="205"/>
      <c r="I54" s="206"/>
      <c r="J54" s="207"/>
      <c r="K54" s="69" t="s">
        <v>22</v>
      </c>
      <c r="L54" s="207"/>
      <c r="M54" s="223">
        <f>SUM(D54:J54)</f>
        <v>0</v>
      </c>
      <c r="N54" s="363"/>
    </row>
    <row r="55" spans="1:18" s="8" customFormat="1" ht="15" customHeight="1">
      <c r="A55" s="378">
        <v>17</v>
      </c>
      <c r="B55" s="463" t="s">
        <v>86</v>
      </c>
      <c r="C55" s="489" t="s">
        <v>70</v>
      </c>
      <c r="D55" s="293"/>
      <c r="E55" s="289">
        <v>11</v>
      </c>
      <c r="F55" s="142">
        <v>6</v>
      </c>
      <c r="G55" s="102">
        <v>2</v>
      </c>
      <c r="H55" s="184">
        <v>3</v>
      </c>
      <c r="I55" s="99"/>
      <c r="J55" s="108"/>
      <c r="K55" s="11" t="s">
        <v>27</v>
      </c>
      <c r="L55" s="108">
        <f>SUM(D55:K55)</f>
        <v>22</v>
      </c>
      <c r="M55" s="108"/>
      <c r="N55" s="362">
        <f>L55+M56</f>
        <v>22</v>
      </c>
      <c r="O55" s="147"/>
      <c r="P55" s="147"/>
    </row>
    <row r="56" spans="1:18" s="8" customFormat="1" ht="15" customHeight="1" thickBot="1">
      <c r="A56" s="383"/>
      <c r="B56" s="464"/>
      <c r="C56" s="490"/>
      <c r="D56" s="294"/>
      <c r="E56" s="213"/>
      <c r="F56" s="212"/>
      <c r="G56" s="100"/>
      <c r="H56" s="211"/>
      <c r="I56" s="211"/>
      <c r="J56" s="126"/>
      <c r="K56" s="12" t="s">
        <v>22</v>
      </c>
      <c r="L56" s="13"/>
      <c r="M56" s="107">
        <f>SUM(D56:J56)</f>
        <v>0</v>
      </c>
      <c r="N56" s="364"/>
      <c r="O56" s="147"/>
      <c r="P56" s="147"/>
      <c r="Q56" s="147"/>
    </row>
    <row r="57" spans="1:18" s="8" customFormat="1" ht="15" customHeight="1">
      <c r="A57" s="374">
        <v>18</v>
      </c>
      <c r="B57" s="463" t="s">
        <v>91</v>
      </c>
      <c r="C57" s="490"/>
      <c r="D57" s="293"/>
      <c r="E57" s="289">
        <v>14</v>
      </c>
      <c r="F57" s="142">
        <v>5</v>
      </c>
      <c r="G57" s="102">
        <v>3</v>
      </c>
      <c r="H57" s="184">
        <v>3</v>
      </c>
      <c r="I57" s="99">
        <v>3</v>
      </c>
      <c r="J57" s="108">
        <v>5</v>
      </c>
      <c r="K57" s="11" t="s">
        <v>27</v>
      </c>
      <c r="L57" s="108">
        <f>SUM(D57:K57)</f>
        <v>33</v>
      </c>
      <c r="M57" s="108"/>
      <c r="N57" s="362">
        <f>L57+M58</f>
        <v>33</v>
      </c>
      <c r="O57" s="147"/>
      <c r="P57" s="147"/>
      <c r="Q57" s="147"/>
    </row>
    <row r="58" spans="1:18" s="8" customFormat="1" ht="14.25" customHeight="1" thickBot="1">
      <c r="A58" s="375"/>
      <c r="B58" s="464"/>
      <c r="C58" s="491"/>
      <c r="D58" s="295"/>
      <c r="E58" s="290"/>
      <c r="F58" s="141"/>
      <c r="G58" s="101"/>
      <c r="H58" s="205"/>
      <c r="I58" s="176"/>
      <c r="J58" s="49"/>
      <c r="K58" s="69" t="s">
        <v>22</v>
      </c>
      <c r="L58" s="49"/>
      <c r="M58" s="14">
        <f>SUM(D58:J58)</f>
        <v>0</v>
      </c>
      <c r="N58" s="363"/>
      <c r="O58" s="147"/>
      <c r="P58" s="147"/>
      <c r="Q58" s="147"/>
    </row>
    <row r="59" spans="1:18" s="8" customFormat="1" ht="14.25" customHeight="1">
      <c r="A59" s="378">
        <v>19</v>
      </c>
      <c r="B59" s="479" t="s">
        <v>87</v>
      </c>
      <c r="C59" s="483" t="s">
        <v>44</v>
      </c>
      <c r="D59" s="301"/>
      <c r="E59" s="97">
        <v>12</v>
      </c>
      <c r="F59" s="142"/>
      <c r="G59" s="102">
        <v>1</v>
      </c>
      <c r="H59" s="184">
        <v>2</v>
      </c>
      <c r="I59" s="99">
        <v>3</v>
      </c>
      <c r="J59" s="108"/>
      <c r="K59" s="11" t="s">
        <v>27</v>
      </c>
      <c r="L59" s="108">
        <f>SUM(D59:K59)</f>
        <v>18</v>
      </c>
      <c r="M59" s="108"/>
      <c r="N59" s="370">
        <f>L59+M60</f>
        <v>18</v>
      </c>
      <c r="O59" s="147"/>
      <c r="P59" s="147"/>
      <c r="Q59" s="147"/>
    </row>
    <row r="60" spans="1:18" s="8" customFormat="1" ht="14.25" customHeight="1" thickBot="1">
      <c r="A60" s="383"/>
      <c r="B60" s="480"/>
      <c r="C60" s="484"/>
      <c r="D60" s="302"/>
      <c r="E60" s="95"/>
      <c r="F60" s="140"/>
      <c r="G60" s="100"/>
      <c r="H60" s="185"/>
      <c r="I60" s="98"/>
      <c r="J60" s="13"/>
      <c r="K60" s="12" t="s">
        <v>22</v>
      </c>
      <c r="L60" s="13"/>
      <c r="M60" s="107">
        <f>SUM(D60:J60)</f>
        <v>0</v>
      </c>
      <c r="N60" s="371"/>
      <c r="O60" s="147"/>
      <c r="P60" s="147"/>
      <c r="Q60" s="147"/>
    </row>
    <row r="61" spans="1:18" s="8" customFormat="1" ht="14.25" customHeight="1">
      <c r="A61" s="374">
        <v>20</v>
      </c>
      <c r="B61" s="365" t="s">
        <v>88</v>
      </c>
      <c r="C61" s="484"/>
      <c r="D61" s="338"/>
      <c r="E61" s="339"/>
      <c r="F61" s="139">
        <v>5</v>
      </c>
      <c r="G61" s="124">
        <v>1</v>
      </c>
      <c r="H61" s="198">
        <v>2</v>
      </c>
      <c r="I61" s="174"/>
      <c r="J61" s="91"/>
      <c r="K61" s="68" t="s">
        <v>27</v>
      </c>
      <c r="L61" s="91">
        <f>SUM(D61:K61)</f>
        <v>8</v>
      </c>
      <c r="M61" s="91"/>
      <c r="N61" s="363">
        <f>L61+M62</f>
        <v>8</v>
      </c>
      <c r="O61"/>
      <c r="P61"/>
      <c r="Q61"/>
      <c r="R61"/>
    </row>
    <row r="62" spans="1:18" s="8" customFormat="1" ht="14.25" customHeight="1" thickBot="1">
      <c r="A62" s="375"/>
      <c r="B62" s="366"/>
      <c r="C62" s="485"/>
      <c r="D62" s="296"/>
      <c r="E62" s="291"/>
      <c r="F62" s="140"/>
      <c r="G62" s="100"/>
      <c r="H62" s="185"/>
      <c r="I62" s="98"/>
      <c r="J62" s="13"/>
      <c r="K62" s="12" t="s">
        <v>22</v>
      </c>
      <c r="L62" s="13"/>
      <c r="M62" s="107">
        <f>SUM(D62:J62)</f>
        <v>0</v>
      </c>
      <c r="N62" s="364"/>
      <c r="O62"/>
      <c r="P62"/>
      <c r="Q62"/>
      <c r="R62"/>
    </row>
    <row r="63" spans="1:18" s="8" customFormat="1" ht="14.25" customHeight="1">
      <c r="A63" s="378">
        <v>21</v>
      </c>
      <c r="B63" s="479" t="s">
        <v>93</v>
      </c>
      <c r="C63" s="498" t="s">
        <v>40</v>
      </c>
      <c r="D63" s="297"/>
      <c r="E63" s="340">
        <v>18</v>
      </c>
      <c r="F63" s="143">
        <v>5</v>
      </c>
      <c r="G63" s="106">
        <v>1</v>
      </c>
      <c r="H63" s="285">
        <v>3</v>
      </c>
      <c r="I63" s="129"/>
      <c r="J63" s="286"/>
      <c r="K63" s="11" t="s">
        <v>27</v>
      </c>
      <c r="L63" s="288">
        <f>SUM(D63:K63)</f>
        <v>27</v>
      </c>
      <c r="M63" s="287"/>
      <c r="N63" s="362">
        <f>L63+M64</f>
        <v>27</v>
      </c>
      <c r="O63"/>
      <c r="P63"/>
      <c r="Q63"/>
      <c r="R63"/>
    </row>
    <row r="64" spans="1:18" s="8" customFormat="1" ht="14.25" customHeight="1" thickBot="1">
      <c r="A64" s="383"/>
      <c r="B64" s="480"/>
      <c r="C64" s="499"/>
      <c r="D64" s="298"/>
      <c r="E64" s="292"/>
      <c r="F64" s="245"/>
      <c r="G64" s="105"/>
      <c r="H64" s="211"/>
      <c r="I64" s="246"/>
      <c r="J64" s="247"/>
      <c r="K64" s="12" t="s">
        <v>22</v>
      </c>
      <c r="L64" s="248"/>
      <c r="M64" s="262">
        <f>SUM(D64:J64)</f>
        <v>0</v>
      </c>
      <c r="N64" s="364"/>
      <c r="O64"/>
      <c r="P64"/>
      <c r="Q64"/>
      <c r="R64"/>
    </row>
    <row r="65" spans="1:18" s="8" customFormat="1" ht="15" customHeight="1">
      <c r="A65" s="374">
        <v>22</v>
      </c>
      <c r="B65" s="503" t="s">
        <v>146</v>
      </c>
      <c r="C65" s="481" t="s">
        <v>144</v>
      </c>
      <c r="D65" s="299"/>
      <c r="E65" s="125">
        <v>25</v>
      </c>
      <c r="F65" s="243">
        <v>11</v>
      </c>
      <c r="G65" s="102">
        <v>3</v>
      </c>
      <c r="H65" s="108">
        <v>1</v>
      </c>
      <c r="I65" s="108">
        <v>2</v>
      </c>
      <c r="J65" s="104"/>
      <c r="K65" s="11" t="s">
        <v>27</v>
      </c>
      <c r="L65" s="108">
        <f>SUM(D65:K65)</f>
        <v>42</v>
      </c>
      <c r="M65" s="108"/>
      <c r="N65" s="370">
        <f>L65+M66</f>
        <v>42</v>
      </c>
      <c r="O65"/>
      <c r="P65"/>
      <c r="Q65"/>
      <c r="R65"/>
    </row>
    <row r="66" spans="1:18" s="8" customFormat="1" ht="13.5" customHeight="1" thickBot="1">
      <c r="A66" s="375"/>
      <c r="B66" s="504"/>
      <c r="C66" s="482"/>
      <c r="D66" s="300"/>
      <c r="E66" s="170"/>
      <c r="F66" s="107"/>
      <c r="G66" s="100"/>
      <c r="H66" s="13"/>
      <c r="I66" s="107"/>
      <c r="J66" s="13"/>
      <c r="K66" s="12" t="s">
        <v>22</v>
      </c>
      <c r="L66" s="13"/>
      <c r="M66" s="107">
        <f>SUM(D66:L66)</f>
        <v>0</v>
      </c>
      <c r="N66" s="371"/>
      <c r="O66"/>
      <c r="P66"/>
      <c r="Q66"/>
      <c r="R66"/>
    </row>
    <row r="67" spans="1:18" ht="12.75" customHeight="1">
      <c r="A67" s="378">
        <v>23</v>
      </c>
      <c r="B67" s="473" t="s">
        <v>139</v>
      </c>
      <c r="C67" s="469" t="s">
        <v>63</v>
      </c>
      <c r="D67" s="284"/>
      <c r="E67" s="310"/>
      <c r="F67" s="311"/>
      <c r="G67" s="312"/>
      <c r="H67" s="303"/>
      <c r="I67" s="313"/>
      <c r="J67" s="314"/>
      <c r="K67" s="11" t="s">
        <v>27</v>
      </c>
      <c r="L67" s="309">
        <f>SUM(D67:K67)</f>
        <v>0</v>
      </c>
      <c r="M67" s="304"/>
      <c r="N67" s="362">
        <f>L67+M68</f>
        <v>0</v>
      </c>
    </row>
    <row r="68" spans="1:18" ht="12.75" customHeight="1" thickBot="1">
      <c r="A68" s="383"/>
      <c r="B68" s="474"/>
      <c r="C68" s="470"/>
      <c r="D68" s="244"/>
      <c r="E68" s="315"/>
      <c r="F68" s="316"/>
      <c r="G68" s="317"/>
      <c r="H68" s="305"/>
      <c r="I68" s="318"/>
      <c r="J68" s="319"/>
      <c r="K68" s="12" t="s">
        <v>22</v>
      </c>
      <c r="L68" s="306"/>
      <c r="M68" s="307">
        <f>SUM(D68:J68)</f>
        <v>0</v>
      </c>
      <c r="N68" s="364"/>
    </row>
    <row r="69" spans="1:18" ht="12.75" customHeight="1">
      <c r="A69" s="379">
        <v>24</v>
      </c>
      <c r="B69" s="471" t="s">
        <v>80</v>
      </c>
      <c r="C69" s="469" t="s">
        <v>63</v>
      </c>
      <c r="D69" s="320"/>
      <c r="E69" s="310"/>
      <c r="F69" s="311"/>
      <c r="G69" s="312"/>
      <c r="H69" s="303"/>
      <c r="I69" s="313"/>
      <c r="J69" s="314"/>
      <c r="K69" s="11" t="s">
        <v>27</v>
      </c>
      <c r="L69" s="308">
        <f>SUM(D69:K69)</f>
        <v>0</v>
      </c>
      <c r="M69" s="321"/>
      <c r="N69" s="362">
        <f>L69+M70</f>
        <v>5</v>
      </c>
    </row>
    <row r="70" spans="1:18" ht="12.75" customHeight="1" thickBot="1">
      <c r="A70" s="380"/>
      <c r="B70" s="472"/>
      <c r="C70" s="470"/>
      <c r="D70" s="322"/>
      <c r="E70" s="315"/>
      <c r="F70" s="316">
        <v>3</v>
      </c>
      <c r="G70" s="317">
        <v>2</v>
      </c>
      <c r="H70" s="305"/>
      <c r="I70" s="318"/>
      <c r="J70" s="319"/>
      <c r="K70" s="12" t="s">
        <v>22</v>
      </c>
      <c r="L70" s="323"/>
      <c r="M70" s="324">
        <f>SUM(D70:L70)</f>
        <v>5</v>
      </c>
      <c r="N70" s="364"/>
    </row>
    <row r="71" spans="1:18" ht="18.75" customHeight="1" thickBot="1">
      <c r="A71" s="330"/>
      <c r="B71" s="329" t="s">
        <v>90</v>
      </c>
      <c r="C71" s="328">
        <f>N67+N69+N73+N75+N77+N79</f>
        <v>96</v>
      </c>
      <c r="D71" s="337"/>
      <c r="E71" s="331"/>
      <c r="F71" s="452" t="s">
        <v>89</v>
      </c>
      <c r="G71" s="452"/>
      <c r="H71" s="452"/>
      <c r="I71" s="452"/>
      <c r="J71" s="332"/>
      <c r="K71" s="333"/>
      <c r="L71" s="334"/>
      <c r="M71" s="335"/>
      <c r="N71" s="336"/>
    </row>
    <row r="72" spans="1:18" ht="12.75" customHeight="1" thickBot="1">
      <c r="A72" s="263" t="s">
        <v>0</v>
      </c>
      <c r="B72" s="264" t="s">
        <v>23</v>
      </c>
      <c r="C72" s="265" t="s">
        <v>74</v>
      </c>
      <c r="D72" s="266" t="s">
        <v>14</v>
      </c>
      <c r="E72" s="267" t="s">
        <v>15</v>
      </c>
      <c r="F72" s="268" t="s">
        <v>16</v>
      </c>
      <c r="G72" s="269" t="s">
        <v>17</v>
      </c>
      <c r="H72" s="275" t="s">
        <v>54</v>
      </c>
      <c r="I72" s="270" t="s">
        <v>18</v>
      </c>
      <c r="J72" s="271" t="s">
        <v>19</v>
      </c>
      <c r="K72" s="264" t="s">
        <v>20</v>
      </c>
      <c r="L72" s="272" t="s">
        <v>28</v>
      </c>
      <c r="M72" s="273" t="s">
        <v>21</v>
      </c>
      <c r="N72" s="274" t="s">
        <v>2</v>
      </c>
    </row>
    <row r="73" spans="1:18" ht="12.75" customHeight="1">
      <c r="A73" s="475">
        <v>25</v>
      </c>
      <c r="B73" s="453" t="s">
        <v>81</v>
      </c>
      <c r="C73" s="500" t="s">
        <v>63</v>
      </c>
      <c r="D73" s="320"/>
      <c r="E73" s="310"/>
      <c r="F73" s="311"/>
      <c r="G73" s="312"/>
      <c r="H73" s="303"/>
      <c r="I73" s="313"/>
      <c r="J73" s="314"/>
      <c r="K73" s="11" t="s">
        <v>27</v>
      </c>
      <c r="L73" s="308">
        <f>SUM(D73:K73)</f>
        <v>0</v>
      </c>
      <c r="M73" s="321"/>
      <c r="N73" s="362">
        <f>L73+M74</f>
        <v>0</v>
      </c>
    </row>
    <row r="74" spans="1:18" ht="12.75" customHeight="1" thickBot="1">
      <c r="A74" s="476"/>
      <c r="B74" s="453"/>
      <c r="C74" s="501"/>
      <c r="D74" s="322"/>
      <c r="E74" s="315"/>
      <c r="F74" s="316"/>
      <c r="G74" s="317"/>
      <c r="H74" s="305"/>
      <c r="I74" s="318"/>
      <c r="J74" s="319"/>
      <c r="K74" s="12" t="s">
        <v>22</v>
      </c>
      <c r="L74" s="323"/>
      <c r="M74" s="324">
        <f>SUM(D74:L74)</f>
        <v>0</v>
      </c>
      <c r="N74" s="364"/>
    </row>
    <row r="75" spans="1:18" ht="15" customHeight="1">
      <c r="A75" s="412">
        <v>26</v>
      </c>
      <c r="B75" s="454" t="s">
        <v>97</v>
      </c>
      <c r="C75" s="501"/>
      <c r="D75" s="91"/>
      <c r="E75" s="96">
        <v>22</v>
      </c>
      <c r="F75" s="139">
        <v>17</v>
      </c>
      <c r="G75" s="124">
        <v>5</v>
      </c>
      <c r="H75" s="198">
        <v>4</v>
      </c>
      <c r="I75" s="174">
        <v>2</v>
      </c>
      <c r="J75" s="226"/>
      <c r="K75" s="68" t="s">
        <v>27</v>
      </c>
      <c r="L75" s="227">
        <f>SUM(D75:K75)</f>
        <v>50</v>
      </c>
      <c r="M75" s="227"/>
      <c r="N75" s="437">
        <f>L75+M76</f>
        <v>55</v>
      </c>
    </row>
    <row r="76" spans="1:18" ht="15" customHeight="1" thickBot="1">
      <c r="A76" s="380"/>
      <c r="B76" s="453"/>
      <c r="C76" s="501"/>
      <c r="D76" s="107"/>
      <c r="E76" s="95"/>
      <c r="F76" s="140">
        <v>3</v>
      </c>
      <c r="G76" s="100">
        <v>2</v>
      </c>
      <c r="H76" s="183"/>
      <c r="I76" s="98"/>
      <c r="J76" s="122"/>
      <c r="K76" s="12" t="s">
        <v>22</v>
      </c>
      <c r="L76" s="93"/>
      <c r="M76" s="93">
        <f>SUM(D76:L76)</f>
        <v>5</v>
      </c>
      <c r="N76" s="414"/>
    </row>
    <row r="77" spans="1:18" ht="15" customHeight="1">
      <c r="A77" s="443">
        <v>27</v>
      </c>
      <c r="B77" s="454" t="s">
        <v>140</v>
      </c>
      <c r="C77" s="501"/>
      <c r="D77" s="108"/>
      <c r="E77" s="97"/>
      <c r="F77" s="142"/>
      <c r="G77" s="102"/>
      <c r="H77" s="184"/>
      <c r="I77" s="99"/>
      <c r="J77" s="121"/>
      <c r="K77" s="11" t="s">
        <v>27</v>
      </c>
      <c r="L77" s="120">
        <f>SUM(D77:K77)</f>
        <v>0</v>
      </c>
      <c r="M77" s="120"/>
      <c r="N77" s="413">
        <f>L77+M78</f>
        <v>0</v>
      </c>
    </row>
    <row r="78" spans="1:18" ht="15" customHeight="1" thickBot="1">
      <c r="A78" s="444"/>
      <c r="B78" s="468"/>
      <c r="C78" s="501"/>
      <c r="D78" s="14"/>
      <c r="E78" s="35"/>
      <c r="F78" s="141"/>
      <c r="G78" s="101"/>
      <c r="H78" s="186"/>
      <c r="I78" s="176"/>
      <c r="J78" s="177"/>
      <c r="K78" s="69" t="s">
        <v>22</v>
      </c>
      <c r="L78" s="178"/>
      <c r="M78" s="178">
        <f>SUM(D78:L78)</f>
        <v>0</v>
      </c>
      <c r="N78" s="437"/>
    </row>
    <row r="79" spans="1:18" ht="15" customHeight="1">
      <c r="A79" s="379">
        <v>28</v>
      </c>
      <c r="B79" s="454" t="s">
        <v>141</v>
      </c>
      <c r="C79" s="501"/>
      <c r="D79" s="108"/>
      <c r="E79" s="97">
        <v>17</v>
      </c>
      <c r="F79" s="142">
        <v>5</v>
      </c>
      <c r="G79" s="102">
        <v>7</v>
      </c>
      <c r="H79" s="235"/>
      <c r="I79" s="99">
        <v>6</v>
      </c>
      <c r="J79" s="121"/>
      <c r="K79" s="11" t="s">
        <v>27</v>
      </c>
      <c r="L79" s="276">
        <f>SUM(D79:K79)</f>
        <v>35</v>
      </c>
      <c r="M79" s="120"/>
      <c r="N79" s="411">
        <f>L79+M80</f>
        <v>36</v>
      </c>
    </row>
    <row r="80" spans="1:18" ht="15" customHeight="1" thickBot="1">
      <c r="A80" s="449"/>
      <c r="B80" s="468"/>
      <c r="C80" s="502"/>
      <c r="D80" s="107"/>
      <c r="E80" s="95"/>
      <c r="F80" s="140">
        <v>1</v>
      </c>
      <c r="G80" s="100"/>
      <c r="H80" s="183"/>
      <c r="I80" s="98"/>
      <c r="J80" s="122"/>
      <c r="K80" s="12" t="s">
        <v>22</v>
      </c>
      <c r="L80" s="93"/>
      <c r="M80" s="93">
        <f>SUM(D80:J80)</f>
        <v>1</v>
      </c>
      <c r="N80" s="410"/>
    </row>
    <row r="81" spans="1:14" ht="15" customHeight="1" thickBot="1">
      <c r="A81" s="441" t="s">
        <v>56</v>
      </c>
      <c r="B81" s="442"/>
      <c r="C81" s="278">
        <f>N82+N84+N86+N88+N90+N92+N94+N96+N98+N100</f>
        <v>33</v>
      </c>
      <c r="D81" s="280"/>
      <c r="E81" s="438"/>
      <c r="F81" s="439"/>
      <c r="G81" s="439"/>
      <c r="H81" s="439"/>
      <c r="I81" s="440"/>
      <c r="J81" s="281"/>
      <c r="K81" s="240"/>
      <c r="L81" s="279"/>
      <c r="M81" s="279"/>
      <c r="N81" s="277"/>
    </row>
    <row r="82" spans="1:14" ht="15" customHeight="1">
      <c r="A82" s="379">
        <v>29</v>
      </c>
      <c r="B82" s="455" t="s">
        <v>82</v>
      </c>
      <c r="C82" s="447" t="s">
        <v>42</v>
      </c>
      <c r="D82" s="108"/>
      <c r="E82" s="97">
        <v>2</v>
      </c>
      <c r="F82" s="142"/>
      <c r="G82" s="102"/>
      <c r="H82" s="235"/>
      <c r="I82" s="99"/>
      <c r="J82" s="121"/>
      <c r="K82" s="11" t="s">
        <v>27</v>
      </c>
      <c r="L82" s="120">
        <f>SUM(D82:J82)</f>
        <v>2</v>
      </c>
      <c r="M82" s="120"/>
      <c r="N82" s="411">
        <f>L82+M83</f>
        <v>2</v>
      </c>
    </row>
    <row r="83" spans="1:14" ht="15" customHeight="1" thickBot="1">
      <c r="A83" s="449"/>
      <c r="B83" s="456"/>
      <c r="C83" s="448"/>
      <c r="D83" s="107"/>
      <c r="E83" s="95"/>
      <c r="F83" s="140"/>
      <c r="G83" s="100"/>
      <c r="H83" s="183"/>
      <c r="I83" s="98"/>
      <c r="J83" s="122"/>
      <c r="K83" s="12" t="s">
        <v>22</v>
      </c>
      <c r="L83" s="93"/>
      <c r="M83" s="93">
        <f>SUM(D83:J83)</f>
        <v>0</v>
      </c>
      <c r="N83" s="410"/>
    </row>
    <row r="84" spans="1:14" ht="12.75" customHeight="1">
      <c r="A84" s="379">
        <v>30</v>
      </c>
      <c r="B84" s="477" t="s">
        <v>83</v>
      </c>
      <c r="C84" s="496" t="s">
        <v>39</v>
      </c>
      <c r="D84" s="108"/>
      <c r="E84" s="97"/>
      <c r="F84" s="142"/>
      <c r="G84" s="102"/>
      <c r="H84" s="235"/>
      <c r="I84" s="99"/>
      <c r="J84" s="121"/>
      <c r="K84" s="11" t="s">
        <v>27</v>
      </c>
      <c r="L84" s="120">
        <f>SUM(D84:K84)</f>
        <v>0</v>
      </c>
      <c r="M84" s="120"/>
      <c r="N84" s="411">
        <f>L84+M85</f>
        <v>2</v>
      </c>
    </row>
    <row r="85" spans="1:14" ht="11.25" customHeight="1" thickBot="1">
      <c r="A85" s="449"/>
      <c r="B85" s="478"/>
      <c r="C85" s="497"/>
      <c r="D85" s="107"/>
      <c r="E85" s="95"/>
      <c r="F85" s="140"/>
      <c r="G85" s="100">
        <v>2</v>
      </c>
      <c r="H85" s="183"/>
      <c r="I85" s="98"/>
      <c r="J85" s="122"/>
      <c r="K85" s="12" t="s">
        <v>22</v>
      </c>
      <c r="L85" s="93"/>
      <c r="M85" s="93">
        <f>SUM(D85:J85)</f>
        <v>2</v>
      </c>
      <c r="N85" s="410"/>
    </row>
    <row r="86" spans="1:14" ht="12.75" customHeight="1">
      <c r="A86" s="379">
        <v>31</v>
      </c>
      <c r="B86" s="458" t="s">
        <v>143</v>
      </c>
      <c r="C86" s="447" t="s">
        <v>40</v>
      </c>
      <c r="D86" s="112"/>
      <c r="E86" s="96"/>
      <c r="F86" s="139"/>
      <c r="G86" s="124"/>
      <c r="H86" s="198"/>
      <c r="I86" s="91"/>
      <c r="J86" s="226"/>
      <c r="K86" s="68" t="s">
        <v>27</v>
      </c>
      <c r="L86" s="232">
        <f>SUM(D86:J86)</f>
        <v>0</v>
      </c>
      <c r="M86" s="227"/>
      <c r="N86" s="409">
        <f>L86+M87</f>
        <v>0</v>
      </c>
    </row>
    <row r="87" spans="1:14" ht="12.75" customHeight="1" thickBot="1">
      <c r="A87" s="449"/>
      <c r="B87" s="451"/>
      <c r="C87" s="448"/>
      <c r="D87" s="13"/>
      <c r="E87" s="95"/>
      <c r="F87" s="140"/>
      <c r="G87" s="100"/>
      <c r="H87" s="185"/>
      <c r="I87" s="107"/>
      <c r="J87" s="122"/>
      <c r="K87" s="12" t="s">
        <v>22</v>
      </c>
      <c r="L87" s="93"/>
      <c r="M87" s="93">
        <f>SUM(D87:J87)</f>
        <v>0</v>
      </c>
      <c r="N87" s="410"/>
    </row>
    <row r="88" spans="1:14">
      <c r="A88" s="379">
        <v>32</v>
      </c>
      <c r="B88" s="466" t="s">
        <v>92</v>
      </c>
      <c r="C88" s="179"/>
      <c r="D88" s="91"/>
      <c r="E88" s="96">
        <v>2</v>
      </c>
      <c r="F88" s="139"/>
      <c r="G88" s="124"/>
      <c r="H88" s="187"/>
      <c r="I88" s="112"/>
      <c r="J88" s="173"/>
      <c r="K88" s="68" t="s">
        <v>27</v>
      </c>
      <c r="L88" s="232">
        <f>SUM(D88:J88)</f>
        <v>2</v>
      </c>
      <c r="M88" s="112"/>
      <c r="N88" s="437">
        <f>L88+M89</f>
        <v>2</v>
      </c>
    </row>
    <row r="89" spans="1:14" ht="10.5" customHeight="1" thickBot="1">
      <c r="A89" s="449"/>
      <c r="B89" s="467"/>
      <c r="C89" s="123"/>
      <c r="D89" s="13"/>
      <c r="E89" s="95"/>
      <c r="F89" s="140"/>
      <c r="G89" s="100"/>
      <c r="H89" s="188"/>
      <c r="I89" s="107"/>
      <c r="J89" s="170"/>
      <c r="K89" s="12" t="s">
        <v>22</v>
      </c>
      <c r="L89" s="13"/>
      <c r="M89" s="107">
        <f>SUM(E89:J89)</f>
        <v>0</v>
      </c>
      <c r="N89" s="414"/>
    </row>
    <row r="90" spans="1:14" ht="14.25" customHeight="1">
      <c r="A90" s="379">
        <v>33</v>
      </c>
      <c r="B90" s="445" t="s">
        <v>96</v>
      </c>
      <c r="C90" s="447" t="s">
        <v>40</v>
      </c>
      <c r="D90" s="104"/>
      <c r="E90" s="97"/>
      <c r="F90" s="142"/>
      <c r="G90" s="102"/>
      <c r="H90" s="189"/>
      <c r="I90" s="108"/>
      <c r="J90" s="125"/>
      <c r="K90" s="11" t="s">
        <v>27</v>
      </c>
      <c r="L90" s="231">
        <f>SUM(D90:J90)</f>
        <v>0</v>
      </c>
      <c r="M90" s="108"/>
      <c r="N90" s="413">
        <f>L90+M91</f>
        <v>4</v>
      </c>
    </row>
    <row r="91" spans="1:14" ht="12.75" customHeight="1" thickBot="1">
      <c r="A91" s="449"/>
      <c r="B91" s="446"/>
      <c r="C91" s="448"/>
      <c r="D91" s="13"/>
      <c r="E91" s="95">
        <v>4</v>
      </c>
      <c r="F91" s="140"/>
      <c r="G91" s="100"/>
      <c r="H91" s="190"/>
      <c r="I91" s="107"/>
      <c r="J91" s="170"/>
      <c r="K91" s="12" t="s">
        <v>22</v>
      </c>
      <c r="L91" s="13"/>
      <c r="M91" s="107">
        <f>SUM(D91:J91)</f>
        <v>4</v>
      </c>
      <c r="N91" s="414"/>
    </row>
    <row r="92" spans="1:14" ht="12.75" customHeight="1">
      <c r="A92" s="379">
        <v>34</v>
      </c>
      <c r="B92" s="450" t="s">
        <v>142</v>
      </c>
      <c r="C92" s="447" t="s">
        <v>40</v>
      </c>
      <c r="D92" s="108"/>
      <c r="E92" s="97"/>
      <c r="F92" s="142"/>
      <c r="G92" s="102"/>
      <c r="H92" s="189"/>
      <c r="I92" s="108"/>
      <c r="J92" s="125"/>
      <c r="K92" s="11" t="s">
        <v>27</v>
      </c>
      <c r="L92" s="108">
        <f>SUM(D92:J92)</f>
        <v>0</v>
      </c>
      <c r="M92" s="108"/>
      <c r="N92" s="413">
        <f>L92+M93</f>
        <v>0</v>
      </c>
    </row>
    <row r="93" spans="1:14" ht="12.75" customHeight="1" thickBot="1">
      <c r="A93" s="449"/>
      <c r="B93" s="451"/>
      <c r="C93" s="448"/>
      <c r="D93" s="107"/>
      <c r="E93" s="95"/>
      <c r="F93" s="140"/>
      <c r="G93" s="100"/>
      <c r="H93" s="190"/>
      <c r="I93" s="107"/>
      <c r="J93" s="170"/>
      <c r="K93" s="12" t="s">
        <v>22</v>
      </c>
      <c r="L93" s="107"/>
      <c r="M93" s="107">
        <f>SUM(D93:J93)</f>
        <v>0</v>
      </c>
      <c r="N93" s="414"/>
    </row>
    <row r="94" spans="1:14" ht="12.75" customHeight="1">
      <c r="A94" s="379">
        <v>35</v>
      </c>
      <c r="B94" s="450" t="s">
        <v>95</v>
      </c>
      <c r="C94" s="447" t="s">
        <v>40</v>
      </c>
      <c r="D94" s="108"/>
      <c r="E94" s="97"/>
      <c r="F94" s="142"/>
      <c r="G94" s="102"/>
      <c r="H94" s="189"/>
      <c r="I94" s="108"/>
      <c r="J94" s="125"/>
      <c r="K94" s="11" t="s">
        <v>27</v>
      </c>
      <c r="L94" s="108">
        <f>SUM(D94:J94)</f>
        <v>0</v>
      </c>
      <c r="M94" s="108"/>
      <c r="N94" s="413">
        <f>L94+M95</f>
        <v>4</v>
      </c>
    </row>
    <row r="95" spans="1:14" ht="13.5" customHeight="1" thickBot="1">
      <c r="A95" s="449"/>
      <c r="B95" s="451"/>
      <c r="C95" s="448"/>
      <c r="D95" s="107"/>
      <c r="E95" s="95"/>
      <c r="F95" s="140">
        <v>4</v>
      </c>
      <c r="G95" s="100"/>
      <c r="H95" s="190"/>
      <c r="I95" s="107"/>
      <c r="J95" s="196"/>
      <c r="K95" s="12" t="s">
        <v>22</v>
      </c>
      <c r="L95" s="107"/>
      <c r="M95" s="107">
        <f>SUM(D95:J95)</f>
        <v>4</v>
      </c>
      <c r="N95" s="414"/>
    </row>
    <row r="96" spans="1:14">
      <c r="A96" s="379">
        <v>36</v>
      </c>
      <c r="B96" s="458" t="s">
        <v>94</v>
      </c>
      <c r="C96" s="447" t="s">
        <v>40</v>
      </c>
      <c r="D96" s="91"/>
      <c r="E96" s="96"/>
      <c r="F96" s="139"/>
      <c r="G96" s="124"/>
      <c r="H96" s="191"/>
      <c r="I96" s="91"/>
      <c r="J96" s="173"/>
      <c r="K96" s="68" t="s">
        <v>27</v>
      </c>
      <c r="L96" s="91">
        <f>SUM(D96:J96)</f>
        <v>0</v>
      </c>
      <c r="M96" s="91"/>
      <c r="N96" s="413">
        <f>L96+M97</f>
        <v>1</v>
      </c>
    </row>
    <row r="97" spans="1:14" ht="11.25" customHeight="1" thickBot="1">
      <c r="A97" s="449"/>
      <c r="B97" s="465"/>
      <c r="C97" s="448"/>
      <c r="D97" s="14"/>
      <c r="E97" s="35"/>
      <c r="F97" s="141">
        <v>1</v>
      </c>
      <c r="G97" s="101"/>
      <c r="H97" s="192"/>
      <c r="I97" s="176"/>
      <c r="J97" s="169"/>
      <c r="K97" s="69" t="s">
        <v>22</v>
      </c>
      <c r="L97" s="14"/>
      <c r="M97" s="14">
        <f>SUM(D97:J97)</f>
        <v>1</v>
      </c>
      <c r="N97" s="437"/>
    </row>
    <row r="98" spans="1:14">
      <c r="A98" s="379">
        <v>37</v>
      </c>
      <c r="B98" s="463" t="s">
        <v>149</v>
      </c>
      <c r="C98" s="447" t="s">
        <v>40</v>
      </c>
      <c r="D98" s="108"/>
      <c r="E98" s="97"/>
      <c r="F98" s="142"/>
      <c r="G98" s="102"/>
      <c r="H98" s="189"/>
      <c r="I98" s="108"/>
      <c r="J98" s="125"/>
      <c r="K98" s="11" t="s">
        <v>27</v>
      </c>
      <c r="L98" s="108">
        <f>SUM(D98:J98)</f>
        <v>0</v>
      </c>
      <c r="M98" s="108"/>
      <c r="N98" s="413">
        <f>L98+M99</f>
        <v>0</v>
      </c>
    </row>
    <row r="99" spans="1:14" ht="12.75" customHeight="1" thickBot="1">
      <c r="A99" s="449"/>
      <c r="B99" s="464"/>
      <c r="C99" s="448"/>
      <c r="D99" s="107"/>
      <c r="E99" s="95"/>
      <c r="F99" s="140"/>
      <c r="G99" s="100"/>
      <c r="H99" s="190"/>
      <c r="I99" s="107"/>
      <c r="J99" s="170"/>
      <c r="K99" s="12" t="s">
        <v>22</v>
      </c>
      <c r="L99" s="107"/>
      <c r="M99" s="107">
        <f>SUM(D99:J99)</f>
        <v>0</v>
      </c>
      <c r="N99" s="414"/>
    </row>
    <row r="100" spans="1:14" ht="13.5" customHeight="1">
      <c r="A100" s="379">
        <v>38</v>
      </c>
      <c r="B100" s="445" t="s">
        <v>137</v>
      </c>
      <c r="C100" s="447" t="s">
        <v>40</v>
      </c>
      <c r="D100" s="108"/>
      <c r="E100" s="97"/>
      <c r="F100" s="142"/>
      <c r="G100" s="102"/>
      <c r="H100" s="189"/>
      <c r="I100" s="108"/>
      <c r="J100" s="171"/>
      <c r="K100" s="11" t="s">
        <v>27</v>
      </c>
      <c r="L100" s="108">
        <f>SUM(D100:J100)</f>
        <v>0</v>
      </c>
      <c r="M100" s="108"/>
      <c r="N100" s="413">
        <f>L100+M101</f>
        <v>18</v>
      </c>
    </row>
    <row r="101" spans="1:14" ht="12.75" customHeight="1" thickBot="1">
      <c r="A101" s="449"/>
      <c r="B101" s="446"/>
      <c r="C101" s="448"/>
      <c r="D101" s="107"/>
      <c r="E101" s="195">
        <v>10</v>
      </c>
      <c r="F101" s="140">
        <v>6</v>
      </c>
      <c r="G101" s="100"/>
      <c r="H101" s="190"/>
      <c r="I101" s="107">
        <v>2</v>
      </c>
      <c r="J101" s="172"/>
      <c r="K101" s="12" t="s">
        <v>22</v>
      </c>
      <c r="L101" s="107"/>
      <c r="M101" s="107">
        <f>SUM(D101:J101)</f>
        <v>18</v>
      </c>
      <c r="N101" s="414"/>
    </row>
    <row r="102" spans="1:14" ht="16.5" customHeight="1" thickBot="1">
      <c r="A102" s="461" t="s">
        <v>9</v>
      </c>
      <c r="B102" s="461"/>
      <c r="C102" s="462"/>
      <c r="D102" s="182">
        <f>SUM(D19:D101)</f>
        <v>0</v>
      </c>
      <c r="E102" s="165">
        <f>SUM(E20:E101)</f>
        <v>254</v>
      </c>
      <c r="F102" s="159">
        <f>SUM(F19:F101)</f>
        <v>167</v>
      </c>
      <c r="G102" s="160">
        <f>SUM(G20:G101)</f>
        <v>56</v>
      </c>
      <c r="H102" s="193">
        <f>SUM(H19:H101)</f>
        <v>45</v>
      </c>
      <c r="I102" s="194">
        <f>SUM(I19:I101)</f>
        <v>25</v>
      </c>
      <c r="J102" s="180">
        <f>SUM(J19:J101)</f>
        <v>5</v>
      </c>
      <c r="K102" s="161" t="s">
        <v>45</v>
      </c>
      <c r="L102" s="162">
        <f>SUM(L19:L101)</f>
        <v>463</v>
      </c>
      <c r="M102" s="162">
        <f>SUM(M19:M101)</f>
        <v>89</v>
      </c>
      <c r="N102" s="163">
        <f>SUM(N19:N100)</f>
        <v>552</v>
      </c>
    </row>
    <row r="103" spans="1:14" ht="16.5" customHeight="1">
      <c r="A103" s="249"/>
      <c r="B103" s="249"/>
      <c r="C103" s="249"/>
      <c r="D103" s="250"/>
      <c r="E103" s="251"/>
      <c r="F103" s="252"/>
      <c r="G103" s="253"/>
      <c r="H103" s="254"/>
      <c r="I103" s="255"/>
      <c r="J103" s="256"/>
      <c r="K103" s="257"/>
      <c r="L103" s="32"/>
      <c r="M103" s="32"/>
      <c r="N103" s="258"/>
    </row>
    <row r="104" spans="1:14" ht="12.75" customHeight="1" thickBot="1">
      <c r="A104" s="92"/>
      <c r="B104" s="127"/>
      <c r="C104" s="128"/>
      <c r="D104" s="9"/>
      <c r="E104" s="9"/>
      <c r="F104" s="9"/>
      <c r="G104" s="9"/>
      <c r="H104" s="9"/>
      <c r="I104" s="8"/>
      <c r="J104" s="17"/>
      <c r="K104" s="9"/>
      <c r="L104" s="9"/>
      <c r="M104" s="92"/>
    </row>
    <row r="105" spans="1:14" ht="19.5">
      <c r="E105" s="75"/>
      <c r="F105" s="76" t="s">
        <v>27</v>
      </c>
      <c r="G105" s="77">
        <f>L102</f>
        <v>463</v>
      </c>
    </row>
    <row r="106" spans="1:14" ht="19.5">
      <c r="B106" s="72" t="s">
        <v>29</v>
      </c>
      <c r="E106" s="78"/>
      <c r="F106" s="74" t="s">
        <v>22</v>
      </c>
      <c r="G106" s="79">
        <f>M102</f>
        <v>89</v>
      </c>
      <c r="L106" s="72"/>
      <c r="M106" s="73"/>
    </row>
    <row r="107" spans="1:14" ht="20.25" thickBot="1">
      <c r="E107" s="459" t="s">
        <v>33</v>
      </c>
      <c r="F107" s="460"/>
      <c r="G107" s="80">
        <f>N102</f>
        <v>552</v>
      </c>
      <c r="K107" s="457" t="s">
        <v>30</v>
      </c>
      <c r="L107" s="457"/>
      <c r="M107" s="457"/>
    </row>
    <row r="108" spans="1:14">
      <c r="C108" s="67"/>
    </row>
    <row r="109" spans="1:14">
      <c r="C109" s="67"/>
      <c r="E109" s="73"/>
    </row>
    <row r="110" spans="1:14" ht="12.75" customHeight="1">
      <c r="E110" s="73"/>
    </row>
    <row r="111" spans="1:14">
      <c r="C111" s="67"/>
      <c r="E111" s="73"/>
      <c r="F111" s="73"/>
      <c r="G111" s="73"/>
    </row>
    <row r="112" spans="1:14">
      <c r="E112" s="73"/>
      <c r="F112" s="73"/>
      <c r="G112" s="73"/>
      <c r="I112" s="73"/>
    </row>
    <row r="113" spans="2:9">
      <c r="C113" s="67"/>
      <c r="E113" s="73"/>
      <c r="F113" s="73"/>
      <c r="G113" s="73"/>
      <c r="I113" s="73"/>
    </row>
    <row r="114" spans="2:9">
      <c r="B114" s="73"/>
      <c r="E114" s="282"/>
      <c r="G114" s="73"/>
      <c r="I114" s="73"/>
    </row>
    <row r="115" spans="2:9">
      <c r="E115" s="282"/>
      <c r="F115" s="73"/>
      <c r="G115" s="73"/>
      <c r="I115" s="73"/>
    </row>
    <row r="116" spans="2:9">
      <c r="E116" s="73"/>
      <c r="F116" s="282"/>
      <c r="G116" s="164"/>
      <c r="I116" s="73"/>
    </row>
    <row r="117" spans="2:9">
      <c r="E117" s="73"/>
      <c r="F117" s="164"/>
      <c r="G117" s="73"/>
      <c r="I117" s="73"/>
    </row>
    <row r="118" spans="2:9">
      <c r="E118" s="282"/>
      <c r="I118" s="73"/>
    </row>
    <row r="119" spans="2:9">
      <c r="E119" s="73"/>
    </row>
    <row r="120" spans="2:9">
      <c r="E120" s="73"/>
      <c r="G120" s="73"/>
    </row>
    <row r="124" spans="2:9">
      <c r="E124" s="73"/>
    </row>
  </sheetData>
  <mergeCells count="165">
    <mergeCell ref="A61:A62"/>
    <mergeCell ref="B57:B58"/>
    <mergeCell ref="B84:B85"/>
    <mergeCell ref="A22:A23"/>
    <mergeCell ref="C67:C68"/>
    <mergeCell ref="B79:B80"/>
    <mergeCell ref="B63:B64"/>
    <mergeCell ref="C65:C66"/>
    <mergeCell ref="B59:B60"/>
    <mergeCell ref="A59:A60"/>
    <mergeCell ref="C59:C62"/>
    <mergeCell ref="C51:C54"/>
    <mergeCell ref="A53:A54"/>
    <mergeCell ref="B49:B50"/>
    <mergeCell ref="B55:B56"/>
    <mergeCell ref="C55:C58"/>
    <mergeCell ref="B22:B23"/>
    <mergeCell ref="C24:C27"/>
    <mergeCell ref="C22:C23"/>
    <mergeCell ref="C84:C85"/>
    <mergeCell ref="A75:A76"/>
    <mergeCell ref="C63:C64"/>
    <mergeCell ref="C73:C80"/>
    <mergeCell ref="B65:B66"/>
    <mergeCell ref="B77:B78"/>
    <mergeCell ref="A65:A66"/>
    <mergeCell ref="A63:A64"/>
    <mergeCell ref="A67:A68"/>
    <mergeCell ref="C69:C70"/>
    <mergeCell ref="A79:A80"/>
    <mergeCell ref="B69:B70"/>
    <mergeCell ref="A82:A83"/>
    <mergeCell ref="B67:B68"/>
    <mergeCell ref="A73:A74"/>
    <mergeCell ref="K107:M107"/>
    <mergeCell ref="B86:B87"/>
    <mergeCell ref="E107:F107"/>
    <mergeCell ref="A102:C102"/>
    <mergeCell ref="A98:A99"/>
    <mergeCell ref="B98:B99"/>
    <mergeCell ref="B92:B93"/>
    <mergeCell ref="C92:C93"/>
    <mergeCell ref="A100:A101"/>
    <mergeCell ref="A96:A97"/>
    <mergeCell ref="A92:A93"/>
    <mergeCell ref="B96:B97"/>
    <mergeCell ref="C96:C97"/>
    <mergeCell ref="A90:A91"/>
    <mergeCell ref="A88:A89"/>
    <mergeCell ref="B88:B89"/>
    <mergeCell ref="B90:B91"/>
    <mergeCell ref="C86:C87"/>
    <mergeCell ref="C90:C91"/>
    <mergeCell ref="C98:C99"/>
    <mergeCell ref="N86:N87"/>
    <mergeCell ref="N94:N95"/>
    <mergeCell ref="N88:N89"/>
    <mergeCell ref="A69:A70"/>
    <mergeCell ref="E81:I81"/>
    <mergeCell ref="A81:B81"/>
    <mergeCell ref="A77:A78"/>
    <mergeCell ref="N98:N99"/>
    <mergeCell ref="N100:N101"/>
    <mergeCell ref="N96:N97"/>
    <mergeCell ref="B100:B101"/>
    <mergeCell ref="C100:C101"/>
    <mergeCell ref="A94:A95"/>
    <mergeCell ref="B94:B95"/>
    <mergeCell ref="C94:C95"/>
    <mergeCell ref="C82:C83"/>
    <mergeCell ref="A86:A87"/>
    <mergeCell ref="N90:N91"/>
    <mergeCell ref="N92:N93"/>
    <mergeCell ref="F71:I71"/>
    <mergeCell ref="A84:A85"/>
    <mergeCell ref="B73:B74"/>
    <mergeCell ref="B75:B76"/>
    <mergeCell ref="B82:B83"/>
    <mergeCell ref="N65:N66"/>
    <mergeCell ref="N75:N76"/>
    <mergeCell ref="N77:N78"/>
    <mergeCell ref="N84:N85"/>
    <mergeCell ref="N49:N50"/>
    <mergeCell ref="N53:N54"/>
    <mergeCell ref="N51:N52"/>
    <mergeCell ref="N63:N64"/>
    <mergeCell ref="N79:N80"/>
    <mergeCell ref="N82:N83"/>
    <mergeCell ref="N67:N68"/>
    <mergeCell ref="N69:N70"/>
    <mergeCell ref="N73:N74"/>
    <mergeCell ref="E2:H3"/>
    <mergeCell ref="A5:C5"/>
    <mergeCell ref="A20:A21"/>
    <mergeCell ref="E5:H5"/>
    <mergeCell ref="A9:E9"/>
    <mergeCell ref="G9:K9"/>
    <mergeCell ref="H17:I18"/>
    <mergeCell ref="J5:N5"/>
    <mergeCell ref="J6:M6"/>
    <mergeCell ref="J7:M7"/>
    <mergeCell ref="L10:L11"/>
    <mergeCell ref="L12:L13"/>
    <mergeCell ref="L14:L15"/>
    <mergeCell ref="M10:M11"/>
    <mergeCell ref="M12:M13"/>
    <mergeCell ref="N20:N21"/>
    <mergeCell ref="K4:N4"/>
    <mergeCell ref="C17:C18"/>
    <mergeCell ref="C20:C21"/>
    <mergeCell ref="M14:M15"/>
    <mergeCell ref="B20:B21"/>
    <mergeCell ref="Q28:Q29"/>
    <mergeCell ref="A17:B18"/>
    <mergeCell ref="B26:B27"/>
    <mergeCell ref="B24:B25"/>
    <mergeCell ref="A45:A46"/>
    <mergeCell ref="A47:A48"/>
    <mergeCell ref="B41:B42"/>
    <mergeCell ref="A26:A27"/>
    <mergeCell ref="A28:A29"/>
    <mergeCell ref="A30:A31"/>
    <mergeCell ref="A32:A33"/>
    <mergeCell ref="N24:N25"/>
    <mergeCell ref="N26:N27"/>
    <mergeCell ref="N37:N38"/>
    <mergeCell ref="N39:N40"/>
    <mergeCell ref="Q26:Q27"/>
    <mergeCell ref="N30:N31"/>
    <mergeCell ref="N32:N33"/>
    <mergeCell ref="A24:A25"/>
    <mergeCell ref="N28:N29"/>
    <mergeCell ref="N41:N42"/>
    <mergeCell ref="N43:N44"/>
    <mergeCell ref="B30:B31"/>
    <mergeCell ref="N22:N23"/>
    <mergeCell ref="A37:A38"/>
    <mergeCell ref="B32:B33"/>
    <mergeCell ref="A39:A40"/>
    <mergeCell ref="A41:A42"/>
    <mergeCell ref="B37:B38"/>
    <mergeCell ref="A51:A52"/>
    <mergeCell ref="A57:A58"/>
    <mergeCell ref="C47:C50"/>
    <mergeCell ref="A43:A44"/>
    <mergeCell ref="B39:B40"/>
    <mergeCell ref="B45:B46"/>
    <mergeCell ref="C43:C46"/>
    <mergeCell ref="A49:A50"/>
    <mergeCell ref="B47:B48"/>
    <mergeCell ref="A55:A56"/>
    <mergeCell ref="B51:B52"/>
    <mergeCell ref="B53:B54"/>
    <mergeCell ref="B43:B44"/>
    <mergeCell ref="B28:B29"/>
    <mergeCell ref="N45:N46"/>
    <mergeCell ref="N47:N48"/>
    <mergeCell ref="N55:N56"/>
    <mergeCell ref="B61:B62"/>
    <mergeCell ref="C28:C33"/>
    <mergeCell ref="N59:N60"/>
    <mergeCell ref="H35:I35"/>
    <mergeCell ref="N57:N58"/>
    <mergeCell ref="N61:N62"/>
    <mergeCell ref="C37:C42"/>
  </mergeCells>
  <phoneticPr fontId="1" type="noConversion"/>
  <pageMargins left="1" right="0.5" top="0.5" bottom="0.5" header="0.5" footer="0.5"/>
  <pageSetup paperSize="9" orientation="landscape" horizontalDpi="4294967295" verticalDpi="4294967295" r:id="rId1"/>
  <headerFooter alignWithMargins="0"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36"/>
  <sheetViews>
    <sheetView topLeftCell="C19" workbookViewId="0">
      <selection activeCell="J37" sqref="J37"/>
    </sheetView>
  </sheetViews>
  <sheetFormatPr defaultRowHeight="12.75"/>
  <cols>
    <col min="1" max="5" width="9.140625" style="20"/>
    <col min="6" max="6" width="18.42578125" style="20" customWidth="1"/>
    <col min="7" max="9" width="9.140625" style="20"/>
    <col min="10" max="10" width="23.140625" style="20" bestFit="1" customWidth="1"/>
    <col min="11" max="13" width="9.140625" style="20"/>
    <col min="14" max="14" width="17.42578125" style="20" customWidth="1"/>
    <col min="15" max="16384" width="9.140625" style="20"/>
  </cols>
  <sheetData>
    <row r="1" spans="1:10" ht="14.25">
      <c r="A1" s="15"/>
      <c r="H1" s="21"/>
    </row>
    <row r="2" spans="1:10" ht="14.25">
      <c r="A2" s="16"/>
      <c r="H2" s="15"/>
    </row>
    <row r="3" spans="1:10" ht="14.25">
      <c r="A3" s="16"/>
      <c r="H3" s="16"/>
    </row>
    <row r="4" spans="1:10" ht="14.25">
      <c r="A4" s="16"/>
      <c r="F4" s="24"/>
      <c r="H4" s="16"/>
    </row>
    <row r="5" spans="1:10" ht="14.25">
      <c r="A5" s="16"/>
      <c r="F5" s="25"/>
      <c r="H5" s="16"/>
    </row>
    <row r="6" spans="1:10" ht="14.25">
      <c r="A6" s="16"/>
      <c r="F6" s="25"/>
      <c r="H6" s="16"/>
    </row>
    <row r="7" spans="1:10" ht="14.25">
      <c r="A7" s="16"/>
      <c r="F7" s="25"/>
      <c r="H7" s="16"/>
      <c r="J7" s="81"/>
    </row>
    <row r="8" spans="1:10" ht="14.25">
      <c r="A8" s="16"/>
      <c r="F8" s="25"/>
      <c r="H8" s="16"/>
      <c r="J8" s="81">
        <v>3543.2</v>
      </c>
    </row>
    <row r="9" spans="1:10" ht="14.25">
      <c r="A9" s="16"/>
      <c r="F9" s="25"/>
      <c r="H9" s="16"/>
      <c r="J9" s="81"/>
    </row>
    <row r="10" spans="1:10" ht="14.25">
      <c r="A10" s="16"/>
      <c r="F10" s="25"/>
      <c r="H10" s="16"/>
      <c r="J10" s="81"/>
    </row>
    <row r="11" spans="1:10" ht="14.25">
      <c r="A11" s="16"/>
      <c r="F11" s="25"/>
      <c r="H11" s="16"/>
      <c r="J11" s="82">
        <v>8858</v>
      </c>
    </row>
    <row r="12" spans="1:10" ht="14.25">
      <c r="A12" s="16"/>
      <c r="F12" s="25"/>
      <c r="H12" s="16"/>
      <c r="J12" s="81"/>
    </row>
    <row r="13" spans="1:10" ht="14.25">
      <c r="A13" s="15"/>
      <c r="F13" s="25"/>
      <c r="H13" s="16"/>
      <c r="J13" s="81"/>
    </row>
    <row r="14" spans="1:10" ht="14.25">
      <c r="A14" s="16"/>
      <c r="F14" s="25"/>
      <c r="H14" s="15"/>
      <c r="J14" s="81" t="s">
        <v>34</v>
      </c>
    </row>
    <row r="15" spans="1:10" ht="14.25">
      <c r="A15" s="15"/>
      <c r="F15" s="25"/>
      <c r="H15" s="16"/>
      <c r="J15" s="83"/>
    </row>
    <row r="16" spans="1:10" ht="14.25">
      <c r="A16" s="16"/>
      <c r="F16" s="25"/>
      <c r="H16" s="15"/>
      <c r="J16" s="83"/>
    </row>
    <row r="17" spans="1:22" ht="14.25">
      <c r="A17" s="16"/>
      <c r="F17" s="25"/>
      <c r="H17" s="16"/>
      <c r="J17" s="83"/>
    </row>
    <row r="18" spans="1:22" ht="15.75">
      <c r="A18" s="16"/>
      <c r="F18" s="25"/>
      <c r="H18" s="506"/>
      <c r="I18" s="506"/>
      <c r="J18" s="83"/>
      <c r="K18" s="506"/>
      <c r="L18" s="506"/>
      <c r="M18" s="506"/>
      <c r="N18" s="506"/>
      <c r="O18" s="506"/>
      <c r="P18" s="506"/>
      <c r="Q18" s="506"/>
      <c r="R18" s="506"/>
      <c r="S18" s="506"/>
      <c r="T18" s="506"/>
      <c r="U18" s="506"/>
      <c r="V18" s="506"/>
    </row>
    <row r="19" spans="1:22" ht="14.25" customHeight="1">
      <c r="A19" s="16"/>
      <c r="F19" s="25"/>
      <c r="H19" s="506"/>
      <c r="I19" s="506"/>
      <c r="J19" s="83"/>
      <c r="K19" s="506"/>
      <c r="L19" s="506"/>
      <c r="M19" s="506"/>
      <c r="N19" s="506"/>
      <c r="O19" s="506"/>
      <c r="P19" s="506"/>
      <c r="Q19" s="506"/>
      <c r="R19" s="506"/>
      <c r="S19" s="506"/>
      <c r="T19" s="506"/>
      <c r="U19" s="506"/>
      <c r="V19" s="506"/>
    </row>
    <row r="20" spans="1:22" ht="14.25" customHeight="1">
      <c r="A20" s="16"/>
      <c r="F20" s="25"/>
      <c r="H20" s="506"/>
      <c r="I20" s="506"/>
      <c r="J20" s="83"/>
      <c r="K20" s="506"/>
      <c r="L20" s="506"/>
      <c r="M20" s="506"/>
      <c r="N20" s="506"/>
      <c r="O20" s="506"/>
      <c r="P20" s="506"/>
      <c r="Q20" s="506"/>
      <c r="R20" s="506"/>
      <c r="S20" s="506"/>
      <c r="T20" s="506"/>
      <c r="U20" s="506"/>
      <c r="V20" s="506"/>
    </row>
    <row r="21" spans="1:22" ht="15.75">
      <c r="A21" s="22"/>
      <c r="F21" s="25"/>
      <c r="H21" s="38"/>
      <c r="I21" s="39"/>
      <c r="J21" s="83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ht="15.75">
      <c r="A22" s="22"/>
      <c r="F22" s="25"/>
      <c r="H22" s="38"/>
      <c r="I22" s="39"/>
      <c r="J22" s="83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ht="16.5" thickBot="1">
      <c r="A23" s="22"/>
      <c r="F23" s="25"/>
      <c r="H23" s="38"/>
      <c r="I23" s="39"/>
      <c r="J23" s="83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ht="16.5" thickBot="1">
      <c r="A24" s="22"/>
      <c r="F24" s="84">
        <v>93000</v>
      </c>
      <c r="H24" s="38"/>
      <c r="I24" s="39"/>
      <c r="J24" s="83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ht="16.5" thickBot="1">
      <c r="A25" s="22"/>
      <c r="F25" s="89">
        <v>12401.2</v>
      </c>
      <c r="H25" s="38"/>
      <c r="I25" s="39"/>
      <c r="J25" s="83"/>
      <c r="K25" s="42"/>
      <c r="L25" s="42"/>
      <c r="M25" s="42"/>
      <c r="N25" s="88">
        <v>93000</v>
      </c>
      <c r="O25" s="42"/>
      <c r="P25" s="42"/>
      <c r="Q25" s="42"/>
      <c r="R25" s="42"/>
      <c r="S25" s="42"/>
      <c r="T25" s="42"/>
      <c r="U25" s="42"/>
      <c r="V25" s="42"/>
    </row>
    <row r="26" spans="1:22" ht="16.5" thickBot="1">
      <c r="A26" s="22"/>
      <c r="F26" s="510" t="s">
        <v>37</v>
      </c>
      <c r="H26" s="38"/>
      <c r="I26" s="39"/>
      <c r="J26" s="83"/>
      <c r="K26" s="42"/>
      <c r="L26" s="42"/>
      <c r="M26" s="42"/>
      <c r="N26" s="86">
        <v>12401.2</v>
      </c>
      <c r="O26" s="42"/>
      <c r="P26" s="42"/>
      <c r="Q26" s="42"/>
      <c r="R26" s="42"/>
      <c r="S26" s="42"/>
      <c r="T26" s="42"/>
      <c r="U26" s="42"/>
      <c r="V26" s="42"/>
    </row>
    <row r="27" spans="1:22" ht="15.75">
      <c r="A27" s="22"/>
      <c r="F27" s="511"/>
      <c r="H27" s="38"/>
      <c r="I27" s="39"/>
      <c r="J27" s="83"/>
      <c r="K27" s="42"/>
      <c r="L27" s="42"/>
      <c r="M27" s="42"/>
      <c r="N27" s="507" t="s">
        <v>36</v>
      </c>
      <c r="O27" s="42"/>
      <c r="P27" s="42"/>
      <c r="Q27" s="42"/>
      <c r="R27" s="42"/>
      <c r="S27" s="42"/>
      <c r="T27" s="42"/>
      <c r="U27" s="42"/>
      <c r="V27" s="42"/>
    </row>
    <row r="28" spans="1:22" ht="16.5" thickBot="1">
      <c r="A28" s="22"/>
      <c r="F28" s="512"/>
      <c r="H28" s="38"/>
      <c r="I28" s="39"/>
      <c r="J28" s="83"/>
      <c r="K28" s="42"/>
      <c r="L28" s="42"/>
      <c r="M28" s="42"/>
      <c r="N28" s="508"/>
      <c r="O28" s="42"/>
      <c r="P28" s="42"/>
      <c r="Q28" s="42"/>
      <c r="R28" s="42"/>
      <c r="S28" s="42"/>
      <c r="T28" s="42"/>
      <c r="U28" s="42"/>
      <c r="V28" s="42"/>
    </row>
    <row r="29" spans="1:22" ht="16.5" thickBot="1">
      <c r="A29" s="22"/>
      <c r="F29" s="85">
        <v>7314</v>
      </c>
      <c r="H29" s="38"/>
      <c r="I29" s="39"/>
      <c r="J29" s="83"/>
      <c r="K29" s="42"/>
      <c r="L29" s="42"/>
      <c r="M29" s="42"/>
      <c r="N29" s="509"/>
      <c r="O29" s="42"/>
      <c r="P29" s="42"/>
      <c r="Q29" s="42"/>
      <c r="R29" s="42"/>
      <c r="S29" s="42"/>
      <c r="T29" s="42"/>
      <c r="U29" s="42"/>
      <c r="V29" s="42"/>
    </row>
    <row r="30" spans="1:22" ht="16.5" thickBot="1">
      <c r="A30" s="22"/>
      <c r="F30" s="90">
        <f>SUM(F24:F29)</f>
        <v>112715.2</v>
      </c>
      <c r="H30" s="38"/>
      <c r="I30" s="39"/>
      <c r="J30" s="83"/>
      <c r="K30" s="42"/>
      <c r="L30" s="42"/>
      <c r="M30" s="42"/>
      <c r="N30" s="86">
        <v>6032</v>
      </c>
      <c r="O30" s="42"/>
      <c r="P30" s="42"/>
      <c r="Q30" s="42"/>
      <c r="R30" s="42"/>
      <c r="S30" s="42"/>
      <c r="T30" s="42"/>
      <c r="U30" s="42"/>
      <c r="V30" s="42"/>
    </row>
    <row r="31" spans="1:22" ht="15.75">
      <c r="A31" s="22"/>
      <c r="F31" s="25"/>
      <c r="H31" s="38"/>
      <c r="I31" s="39"/>
      <c r="J31" s="83"/>
      <c r="K31" s="42"/>
      <c r="L31" s="42"/>
      <c r="M31" s="42"/>
      <c r="N31" s="87">
        <f>SUM(N25:N30)</f>
        <v>111433.2</v>
      </c>
      <c r="O31" s="42"/>
      <c r="P31" s="42"/>
      <c r="Q31" s="42"/>
      <c r="R31" s="42"/>
      <c r="S31" s="42"/>
      <c r="T31" s="42"/>
      <c r="U31" s="42"/>
      <c r="V31" s="42"/>
    </row>
    <row r="32" spans="1:22" ht="15.75">
      <c r="A32" s="22"/>
      <c r="F32" s="25"/>
      <c r="H32" s="38"/>
      <c r="I32" s="39"/>
      <c r="J32" s="83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1" ht="15.75">
      <c r="A33" s="22"/>
      <c r="F33" s="25"/>
      <c r="H33" s="22"/>
      <c r="J33" s="83"/>
      <c r="U33" s="40"/>
    </row>
    <row r="34" spans="1:21" ht="14.25">
      <c r="A34" s="22"/>
      <c r="F34" s="25"/>
      <c r="H34" s="22"/>
      <c r="J34" s="83" t="s">
        <v>35</v>
      </c>
    </row>
    <row r="35" spans="1:21" ht="14.25">
      <c r="A35" s="22"/>
      <c r="H35" s="22"/>
      <c r="J35" s="83"/>
    </row>
    <row r="36" spans="1:21" ht="21">
      <c r="A36" s="22"/>
      <c r="H36" s="22"/>
      <c r="J36" s="209">
        <f>241*5/6</f>
        <v>200.83333333333334</v>
      </c>
    </row>
    <row r="37" spans="1:21" ht="14.25">
      <c r="A37" s="16"/>
      <c r="H37" s="22"/>
      <c r="J37" s="83"/>
    </row>
    <row r="38" spans="1:21" ht="14.25">
      <c r="A38" s="16"/>
      <c r="H38" s="16"/>
      <c r="J38" s="83"/>
    </row>
    <row r="39" spans="1:21" ht="17.25">
      <c r="A39" s="16"/>
      <c r="G39" s="37"/>
      <c r="H39" s="16"/>
      <c r="J39" s="83"/>
    </row>
    <row r="40" spans="1:21" ht="14.25">
      <c r="A40" s="16"/>
      <c r="G40" s="24"/>
      <c r="H40" s="16"/>
      <c r="J40" s="81">
        <v>1524.94</v>
      </c>
    </row>
    <row r="41" spans="1:21" ht="14.25">
      <c r="A41" s="16"/>
      <c r="G41" s="25"/>
      <c r="H41" s="16"/>
      <c r="J41" s="16"/>
    </row>
    <row r="42" spans="1:21" ht="14.25">
      <c r="A42" s="16"/>
      <c r="G42" s="25"/>
      <c r="H42" s="16"/>
      <c r="J42" s="16"/>
    </row>
    <row r="43" spans="1:21" ht="14.25">
      <c r="A43" s="16"/>
      <c r="G43" s="25"/>
      <c r="H43" s="16"/>
      <c r="J43" s="16"/>
    </row>
    <row r="44" spans="1:21" ht="14.25">
      <c r="A44" s="16"/>
      <c r="G44" s="25"/>
      <c r="H44" s="16"/>
      <c r="J44" s="16"/>
    </row>
    <row r="45" spans="1:21" ht="14.25">
      <c r="A45" s="9"/>
      <c r="G45" s="25"/>
      <c r="H45" s="16"/>
      <c r="J45" s="22"/>
    </row>
    <row r="46" spans="1:21" ht="14.25">
      <c r="A46" s="9"/>
      <c r="G46" s="25"/>
      <c r="H46" s="9"/>
      <c r="J46" s="22"/>
    </row>
    <row r="47" spans="1:21" ht="14.25">
      <c r="G47" s="25"/>
      <c r="H47" s="9"/>
      <c r="J47" s="22"/>
    </row>
    <row r="48" spans="1:21" ht="14.25">
      <c r="G48" s="25"/>
      <c r="J48" s="22"/>
    </row>
    <row r="49" spans="7:10" ht="14.25">
      <c r="G49" s="25"/>
      <c r="J49" s="22"/>
    </row>
    <row r="50" spans="7:10" ht="14.25">
      <c r="G50" s="25"/>
      <c r="J50" s="22"/>
    </row>
    <row r="51" spans="7:10" ht="15.75">
      <c r="G51" s="25"/>
      <c r="H51" s="42"/>
      <c r="J51" s="22"/>
    </row>
    <row r="52" spans="7:10" ht="15.75">
      <c r="G52" s="25"/>
      <c r="H52" s="42"/>
      <c r="J52" s="22"/>
    </row>
    <row r="53" spans="7:10" ht="15.75">
      <c r="G53" s="25"/>
      <c r="H53" s="42"/>
      <c r="J53" s="22"/>
    </row>
    <row r="54" spans="7:10" ht="15.75">
      <c r="G54" s="25"/>
      <c r="H54" s="42"/>
      <c r="J54" s="22"/>
    </row>
    <row r="55" spans="7:10" ht="15.75">
      <c r="G55" s="25"/>
      <c r="H55" s="42"/>
      <c r="J55" s="22"/>
    </row>
    <row r="56" spans="7:10" ht="15.75">
      <c r="G56" s="25"/>
      <c r="H56" s="42"/>
      <c r="J56" s="22"/>
    </row>
    <row r="57" spans="7:10" ht="15.75">
      <c r="G57" s="25"/>
      <c r="H57" s="42"/>
      <c r="J57" s="22"/>
    </row>
    <row r="58" spans="7:10" ht="15.75">
      <c r="G58" s="25"/>
      <c r="H58" s="42"/>
      <c r="I58" s="15"/>
      <c r="J58" s="24"/>
    </row>
    <row r="59" spans="7:10" ht="15.75">
      <c r="G59" s="25"/>
      <c r="H59" s="42"/>
      <c r="I59" s="16"/>
      <c r="J59" s="25"/>
    </row>
    <row r="60" spans="7:10" ht="15.75">
      <c r="G60" s="25"/>
      <c r="H60" s="42"/>
      <c r="I60" s="16"/>
      <c r="J60" s="25"/>
    </row>
    <row r="61" spans="7:10" ht="15.75">
      <c r="G61" s="25"/>
      <c r="H61" s="42"/>
      <c r="I61" s="16"/>
      <c r="J61" s="25"/>
    </row>
    <row r="62" spans="7:10" ht="14.25">
      <c r="G62" s="25"/>
      <c r="H62" s="25"/>
      <c r="I62" s="16"/>
      <c r="J62" s="25"/>
    </row>
    <row r="63" spans="7:10" ht="14.25">
      <c r="G63" s="24"/>
      <c r="H63" s="25"/>
      <c r="I63" s="16"/>
      <c r="J63" s="25"/>
    </row>
    <row r="64" spans="7:10" ht="14.25">
      <c r="G64" s="25"/>
      <c r="H64" s="25"/>
      <c r="I64" s="16"/>
      <c r="J64" s="25"/>
    </row>
    <row r="65" spans="7:14" ht="14.25">
      <c r="G65" s="25"/>
      <c r="H65" s="25"/>
      <c r="I65" s="16"/>
      <c r="J65" s="25"/>
    </row>
    <row r="66" spans="7:14" ht="14.25">
      <c r="G66" s="25"/>
      <c r="H66" s="25"/>
      <c r="I66" s="16"/>
      <c r="J66" s="25"/>
    </row>
    <row r="67" spans="7:14" ht="14.25">
      <c r="G67" s="25"/>
      <c r="H67" s="25"/>
      <c r="I67" s="16"/>
      <c r="J67" s="25"/>
    </row>
    <row r="68" spans="7:14" ht="14.25">
      <c r="G68" s="25"/>
      <c r="H68" s="25"/>
      <c r="I68" s="16"/>
      <c r="J68" s="25"/>
    </row>
    <row r="69" spans="7:14" ht="14.25">
      <c r="G69" s="25"/>
      <c r="H69" s="25"/>
      <c r="I69" s="16"/>
      <c r="J69" s="25"/>
    </row>
    <row r="70" spans="7:14" ht="14.25">
      <c r="G70" s="25"/>
      <c r="H70" s="25"/>
      <c r="I70" s="15"/>
      <c r="J70" s="25"/>
    </row>
    <row r="71" spans="7:14" ht="14.25">
      <c r="H71" s="25"/>
      <c r="I71" s="16"/>
      <c r="J71" s="25"/>
    </row>
    <row r="72" spans="7:14" ht="14.25">
      <c r="H72" s="25"/>
      <c r="I72" s="15"/>
      <c r="J72" s="25"/>
    </row>
    <row r="73" spans="7:14" ht="14.25">
      <c r="H73" s="25"/>
      <c r="I73" s="16"/>
      <c r="J73" s="25"/>
    </row>
    <row r="74" spans="7:14" ht="19.5">
      <c r="H74" s="25"/>
      <c r="I74" s="16"/>
      <c r="J74" s="25"/>
      <c r="K74" s="32"/>
      <c r="M74" s="43"/>
      <c r="N74" s="41"/>
    </row>
    <row r="75" spans="7:14" ht="19.5">
      <c r="H75" s="25"/>
      <c r="I75" s="16"/>
      <c r="J75" s="25"/>
      <c r="K75" s="32"/>
      <c r="M75" s="42"/>
      <c r="N75" s="41"/>
    </row>
    <row r="76" spans="7:14" ht="19.5">
      <c r="H76" s="25"/>
      <c r="I76" s="16"/>
      <c r="J76" s="25"/>
      <c r="K76" s="32"/>
      <c r="M76" s="42"/>
      <c r="N76" s="41"/>
    </row>
    <row r="77" spans="7:14" ht="19.5">
      <c r="H77" s="25"/>
      <c r="I77" s="16"/>
      <c r="J77" s="25"/>
      <c r="K77" s="32"/>
      <c r="M77" s="42"/>
      <c r="N77" s="41"/>
    </row>
    <row r="78" spans="7:14" ht="19.5">
      <c r="H78" s="25"/>
      <c r="I78" s="22"/>
      <c r="J78" s="25"/>
      <c r="K78" s="32"/>
      <c r="M78" s="42"/>
      <c r="N78" s="41"/>
    </row>
    <row r="79" spans="7:14" ht="19.5">
      <c r="H79" s="25"/>
      <c r="I79" s="22"/>
      <c r="J79" s="25"/>
      <c r="K79" s="32"/>
      <c r="M79" s="42"/>
      <c r="N79" s="41"/>
    </row>
    <row r="80" spans="7:14" ht="19.5">
      <c r="H80" s="24"/>
      <c r="I80" s="22"/>
      <c r="J80" s="25"/>
      <c r="K80" s="32"/>
      <c r="M80" s="42"/>
      <c r="N80" s="41"/>
    </row>
    <row r="81" spans="7:14" ht="15.75">
      <c r="H81" s="25"/>
      <c r="I81" s="22"/>
      <c r="J81" s="25"/>
      <c r="M81" s="42"/>
      <c r="N81" s="41"/>
    </row>
    <row r="82" spans="7:14" ht="15.75">
      <c r="H82" s="25"/>
      <c r="I82" s="22"/>
      <c r="J82" s="24"/>
      <c r="M82" s="42"/>
      <c r="N82" s="41"/>
    </row>
    <row r="83" spans="7:14" ht="15.75">
      <c r="H83" s="25"/>
      <c r="I83" s="22"/>
      <c r="J83" s="25"/>
      <c r="M83" s="42"/>
      <c r="N83" s="41"/>
    </row>
    <row r="84" spans="7:14" ht="15.75">
      <c r="H84" s="25"/>
      <c r="I84" s="22"/>
      <c r="J84" s="25"/>
      <c r="M84" s="42"/>
      <c r="N84" s="41"/>
    </row>
    <row r="85" spans="7:14" ht="15.75">
      <c r="H85" s="25"/>
      <c r="I85" s="22"/>
      <c r="J85" s="25"/>
      <c r="M85" s="42"/>
      <c r="N85" s="41"/>
    </row>
    <row r="86" spans="7:14" ht="15.75">
      <c r="H86" s="25"/>
      <c r="I86" s="22"/>
      <c r="J86" s="25"/>
      <c r="M86" s="42"/>
      <c r="N86" s="41"/>
    </row>
    <row r="87" spans="7:14" ht="15.75">
      <c r="I87" s="22"/>
      <c r="J87" s="25"/>
      <c r="M87" s="42"/>
      <c r="N87" s="41"/>
    </row>
    <row r="88" spans="7:14" ht="15.75">
      <c r="G88" s="15"/>
      <c r="I88" s="22"/>
      <c r="J88" s="25"/>
      <c r="M88" s="42"/>
      <c r="N88" s="41"/>
    </row>
    <row r="89" spans="7:14" ht="15.75">
      <c r="G89" s="16"/>
      <c r="I89" s="22"/>
      <c r="J89" s="25"/>
      <c r="M89" s="42"/>
      <c r="N89" s="41"/>
    </row>
    <row r="90" spans="7:14" ht="15.75">
      <c r="G90" s="16"/>
      <c r="I90" s="22"/>
      <c r="J90" s="25"/>
      <c r="M90" s="42"/>
      <c r="N90" s="41"/>
    </row>
    <row r="91" spans="7:14" ht="15.75">
      <c r="G91" s="16"/>
      <c r="I91" s="22"/>
      <c r="M91" s="42"/>
      <c r="N91" s="41"/>
    </row>
    <row r="92" spans="7:14" ht="15.75">
      <c r="G92" s="16"/>
      <c r="I92" s="22"/>
      <c r="M92" s="42"/>
      <c r="N92" s="41"/>
    </row>
    <row r="93" spans="7:14" ht="15.75">
      <c r="G93" s="16"/>
      <c r="I93" s="22"/>
      <c r="M93" s="42"/>
      <c r="N93" s="41"/>
    </row>
    <row r="94" spans="7:14" ht="15.75">
      <c r="G94" s="16"/>
      <c r="I94" s="16"/>
      <c r="M94" s="42"/>
      <c r="N94" s="41"/>
    </row>
    <row r="95" spans="7:14" ht="15.75">
      <c r="G95" s="16"/>
      <c r="I95" s="16"/>
      <c r="M95" s="42"/>
      <c r="N95" s="41"/>
    </row>
    <row r="96" spans="7:14" ht="15.75">
      <c r="G96" s="16"/>
      <c r="I96" s="16"/>
      <c r="M96" s="42"/>
      <c r="N96" s="41"/>
    </row>
    <row r="97" spans="7:14" ht="15.75">
      <c r="G97" s="16"/>
      <c r="I97" s="16"/>
      <c r="M97" s="42"/>
      <c r="N97" s="41"/>
    </row>
    <row r="98" spans="7:14" ht="15.75">
      <c r="G98" s="16"/>
      <c r="I98" s="16"/>
      <c r="M98" s="42"/>
      <c r="N98" s="41"/>
    </row>
    <row r="99" spans="7:14" ht="15.75">
      <c r="G99" s="16"/>
      <c r="I99" s="16"/>
      <c r="M99" s="42"/>
      <c r="N99" s="41"/>
    </row>
    <row r="100" spans="7:14" ht="15.75">
      <c r="G100" s="15"/>
      <c r="I100" s="16"/>
      <c r="M100" s="42"/>
      <c r="N100" s="41"/>
    </row>
    <row r="101" spans="7:14" ht="15.75">
      <c r="G101" s="16"/>
      <c r="I101" s="16"/>
      <c r="M101" s="42"/>
      <c r="N101" s="41"/>
    </row>
    <row r="102" spans="7:14" ht="15.75">
      <c r="G102" s="15"/>
      <c r="I102" s="9"/>
      <c r="M102" s="42"/>
      <c r="N102" s="41"/>
    </row>
    <row r="103" spans="7:14" ht="15.75">
      <c r="G103" s="16"/>
      <c r="I103" s="9"/>
      <c r="M103" s="42"/>
      <c r="N103" s="41"/>
    </row>
    <row r="104" spans="7:14" ht="15.75">
      <c r="G104" s="16"/>
      <c r="M104" s="42"/>
      <c r="N104" s="41"/>
    </row>
    <row r="105" spans="7:14" ht="15.75">
      <c r="G105" s="16"/>
      <c r="M105" s="42"/>
      <c r="N105" s="41"/>
    </row>
    <row r="106" spans="7:14" ht="15.75">
      <c r="G106" s="16"/>
      <c r="M106" s="42"/>
      <c r="N106" s="41"/>
    </row>
    <row r="107" spans="7:14" ht="15.75">
      <c r="G107" s="16"/>
      <c r="M107" s="42"/>
      <c r="N107" s="41"/>
    </row>
    <row r="108" spans="7:14" ht="15.75">
      <c r="G108" s="22"/>
      <c r="M108" s="42"/>
      <c r="N108" s="41"/>
    </row>
    <row r="109" spans="7:14" ht="15.75">
      <c r="G109" s="22"/>
      <c r="M109" s="42"/>
      <c r="N109" s="41"/>
    </row>
    <row r="110" spans="7:14" ht="15.75">
      <c r="G110" s="22"/>
      <c r="M110" s="42"/>
      <c r="N110" s="41"/>
    </row>
    <row r="111" spans="7:14" ht="15.75">
      <c r="G111" s="22"/>
      <c r="M111" s="42"/>
      <c r="N111" s="41"/>
    </row>
    <row r="112" spans="7:14" ht="15.75">
      <c r="G112" s="22"/>
      <c r="M112" s="42"/>
      <c r="N112" s="41"/>
    </row>
    <row r="113" spans="7:14" ht="15.75">
      <c r="G113" s="22"/>
      <c r="M113" s="42"/>
      <c r="N113" s="41"/>
    </row>
    <row r="114" spans="7:14" ht="15.75">
      <c r="G114" s="22"/>
      <c r="M114" s="42"/>
      <c r="N114" s="41"/>
    </row>
    <row r="115" spans="7:14" ht="15.75">
      <c r="G115" s="22"/>
      <c r="M115" s="42"/>
      <c r="N115" s="41"/>
    </row>
    <row r="116" spans="7:14" ht="15.75">
      <c r="G116" s="22"/>
      <c r="M116" s="42"/>
      <c r="N116" s="41"/>
    </row>
    <row r="117" spans="7:14" ht="15.75">
      <c r="G117" s="22"/>
      <c r="M117" s="42"/>
      <c r="N117" s="41"/>
    </row>
    <row r="118" spans="7:14" ht="15.75">
      <c r="G118" s="22"/>
      <c r="M118" s="42"/>
      <c r="N118" s="41"/>
    </row>
    <row r="119" spans="7:14" ht="15.75">
      <c r="G119" s="22"/>
      <c r="M119" s="42"/>
      <c r="N119" s="41"/>
    </row>
    <row r="120" spans="7:14" ht="15.75">
      <c r="G120" s="22"/>
      <c r="M120" s="42"/>
      <c r="N120" s="41"/>
    </row>
    <row r="121" spans="7:14" ht="15.75">
      <c r="G121" s="22"/>
      <c r="M121" s="42"/>
      <c r="N121" s="41"/>
    </row>
    <row r="122" spans="7:14" ht="15.75">
      <c r="G122" s="22"/>
      <c r="M122" s="42"/>
      <c r="N122" s="41"/>
    </row>
    <row r="123" spans="7:14" ht="15.75">
      <c r="G123" s="23"/>
      <c r="M123" s="42"/>
      <c r="N123" s="41"/>
    </row>
    <row r="124" spans="7:14" ht="15.75">
      <c r="G124" s="9"/>
      <c r="M124" s="42"/>
      <c r="N124" s="41"/>
    </row>
    <row r="125" spans="7:14" ht="15.75">
      <c r="G125" s="15"/>
      <c r="M125" s="42"/>
      <c r="N125" s="41"/>
    </row>
    <row r="126" spans="7:14" ht="15.75">
      <c r="G126" s="16"/>
      <c r="M126" s="42"/>
      <c r="N126" s="41"/>
    </row>
    <row r="127" spans="7:14" ht="15.75">
      <c r="G127" s="15"/>
      <c r="M127" s="42"/>
      <c r="N127" s="41"/>
    </row>
    <row r="128" spans="7:14" ht="15.75">
      <c r="G128" s="16"/>
      <c r="M128" s="42"/>
      <c r="N128" s="41"/>
    </row>
    <row r="129" spans="7:14" ht="15.75">
      <c r="G129" s="9"/>
      <c r="M129" s="42"/>
      <c r="N129" s="41"/>
    </row>
    <row r="130" spans="7:14" ht="15.75">
      <c r="G130" s="16"/>
      <c r="M130" s="42"/>
      <c r="N130" s="41"/>
    </row>
    <row r="131" spans="7:14" ht="15.75">
      <c r="G131" s="16"/>
      <c r="M131" s="42"/>
      <c r="N131" s="41"/>
    </row>
    <row r="132" spans="7:14" ht="15.75">
      <c r="G132" s="16"/>
      <c r="H132" s="15"/>
      <c r="M132" s="42"/>
      <c r="N132" s="41"/>
    </row>
    <row r="133" spans="7:14" ht="15.75">
      <c r="G133" s="16"/>
      <c r="H133" s="16"/>
      <c r="M133" s="42"/>
      <c r="N133" s="41"/>
    </row>
    <row r="134" spans="7:14" ht="15.75">
      <c r="G134" s="16"/>
      <c r="H134" s="16"/>
      <c r="M134" s="42"/>
      <c r="N134" s="41"/>
    </row>
    <row r="135" spans="7:14" ht="15.75">
      <c r="G135" s="16"/>
      <c r="H135" s="16"/>
      <c r="M135" s="42"/>
      <c r="N135" s="41"/>
    </row>
    <row r="136" spans="7:14" ht="15.75">
      <c r="G136" s="16"/>
      <c r="H136" s="16"/>
      <c r="M136" s="42"/>
      <c r="N136" s="41"/>
    </row>
    <row r="137" spans="7:14" ht="15.75">
      <c r="G137" s="16"/>
      <c r="H137" s="16"/>
      <c r="M137" s="42"/>
      <c r="N137" s="41"/>
    </row>
    <row r="138" spans="7:14" ht="15.75">
      <c r="G138" s="16"/>
      <c r="H138" s="16"/>
      <c r="M138" s="42"/>
      <c r="N138" s="41"/>
    </row>
    <row r="139" spans="7:14" ht="15.75">
      <c r="G139" s="9"/>
      <c r="H139" s="16"/>
      <c r="M139" s="42"/>
      <c r="N139" s="41"/>
    </row>
    <row r="140" spans="7:14" ht="15.75">
      <c r="G140" s="9"/>
      <c r="H140" s="16"/>
      <c r="M140" s="42"/>
      <c r="N140" s="41"/>
    </row>
    <row r="141" spans="7:14" ht="15.75">
      <c r="H141" s="16"/>
      <c r="M141" s="42"/>
      <c r="N141" s="41"/>
    </row>
    <row r="142" spans="7:14" ht="15.75">
      <c r="H142" s="16"/>
      <c r="M142" s="42"/>
      <c r="N142" s="41"/>
    </row>
    <row r="143" spans="7:14" ht="15.75">
      <c r="H143" s="16"/>
      <c r="M143" s="42"/>
      <c r="N143" s="41"/>
    </row>
    <row r="144" spans="7:14" ht="15.75">
      <c r="H144" s="15"/>
      <c r="M144" s="42"/>
      <c r="N144" s="41"/>
    </row>
    <row r="145" spans="8:14" ht="15.75">
      <c r="H145" s="16"/>
      <c r="M145" s="42"/>
      <c r="N145" s="41"/>
    </row>
    <row r="146" spans="8:14" ht="15.75">
      <c r="H146" s="15"/>
      <c r="M146" s="42"/>
      <c r="N146" s="41"/>
    </row>
    <row r="147" spans="8:14" ht="15.75">
      <c r="H147" s="16"/>
      <c r="M147" s="42"/>
      <c r="N147" s="41"/>
    </row>
    <row r="148" spans="8:14" ht="15.75">
      <c r="H148" s="16"/>
      <c r="M148" s="42"/>
      <c r="N148" s="41"/>
    </row>
    <row r="149" spans="8:14" ht="15.75">
      <c r="H149" s="16"/>
      <c r="M149" s="42"/>
      <c r="N149" s="41"/>
    </row>
    <row r="150" spans="8:14" ht="15.75">
      <c r="H150" s="16"/>
      <c r="M150" s="42"/>
      <c r="N150" s="41"/>
    </row>
    <row r="151" spans="8:14" ht="15.75">
      <c r="H151" s="16"/>
      <c r="M151" s="42"/>
      <c r="N151" s="41"/>
    </row>
    <row r="152" spans="8:14" ht="15.75">
      <c r="H152" s="22"/>
      <c r="M152" s="42"/>
      <c r="N152" s="41"/>
    </row>
    <row r="153" spans="8:14" ht="15.75">
      <c r="H153" s="22"/>
      <c r="M153" s="42"/>
      <c r="N153" s="41"/>
    </row>
    <row r="154" spans="8:14" ht="15.75">
      <c r="H154" s="22"/>
      <c r="M154" s="42"/>
      <c r="N154" s="41"/>
    </row>
    <row r="155" spans="8:14" ht="15.75">
      <c r="H155" s="22"/>
      <c r="M155" s="42"/>
      <c r="N155" s="41"/>
    </row>
    <row r="156" spans="8:14" ht="15.75">
      <c r="H156" s="22"/>
      <c r="M156" s="42"/>
      <c r="N156" s="41"/>
    </row>
    <row r="157" spans="8:14" ht="15.75">
      <c r="H157" s="22"/>
      <c r="M157" s="42"/>
      <c r="N157" s="41"/>
    </row>
    <row r="158" spans="8:14" ht="15.75">
      <c r="H158" s="22"/>
      <c r="M158" s="42"/>
      <c r="N158" s="41"/>
    </row>
    <row r="159" spans="8:14" ht="15.75">
      <c r="H159" s="22"/>
      <c r="M159" s="42"/>
      <c r="N159" s="41"/>
    </row>
    <row r="160" spans="8:14" ht="15.75">
      <c r="H160" s="22"/>
      <c r="M160" s="42"/>
      <c r="N160" s="41"/>
    </row>
    <row r="161" spans="8:14" ht="15.75">
      <c r="H161" s="22"/>
      <c r="M161" s="42"/>
      <c r="N161" s="41"/>
    </row>
    <row r="162" spans="8:14" ht="15.75">
      <c r="H162" s="22"/>
      <c r="M162" s="42"/>
      <c r="N162" s="41"/>
    </row>
    <row r="163" spans="8:14" ht="15.75">
      <c r="H163" s="22"/>
      <c r="M163" s="42"/>
      <c r="N163" s="41"/>
    </row>
    <row r="164" spans="8:14" ht="15.75">
      <c r="H164" s="22"/>
      <c r="M164" s="42"/>
      <c r="N164" s="41"/>
    </row>
    <row r="165" spans="8:14" ht="15.75">
      <c r="H165" s="22"/>
      <c r="M165" s="42"/>
      <c r="N165" s="41"/>
    </row>
    <row r="166" spans="8:14" ht="15.75">
      <c r="H166" s="22"/>
      <c r="M166" s="42"/>
      <c r="N166" s="41"/>
    </row>
    <row r="167" spans="8:14" ht="15.75">
      <c r="H167" s="22"/>
      <c r="M167" s="42"/>
      <c r="N167" s="41"/>
    </row>
    <row r="168" spans="8:14" ht="15.75">
      <c r="H168" s="23"/>
      <c r="M168" s="42"/>
      <c r="N168" s="41"/>
    </row>
    <row r="169" spans="8:14" ht="15.75">
      <c r="H169" s="9"/>
      <c r="M169" s="42"/>
      <c r="N169" s="41"/>
    </row>
    <row r="170" spans="8:14" ht="15.75">
      <c r="H170" s="15"/>
      <c r="M170" s="42"/>
      <c r="N170" s="41"/>
    </row>
    <row r="171" spans="8:14" ht="15.75">
      <c r="H171" s="16"/>
      <c r="M171" s="42"/>
      <c r="N171" s="41"/>
    </row>
    <row r="172" spans="8:14" ht="15.75">
      <c r="H172" s="15"/>
      <c r="M172" s="42"/>
      <c r="N172" s="41"/>
    </row>
    <row r="173" spans="8:14" ht="15.75">
      <c r="H173" s="15"/>
      <c r="M173" s="42"/>
      <c r="N173" s="41"/>
    </row>
    <row r="174" spans="8:14" ht="15.75">
      <c r="H174" s="16"/>
      <c r="M174" s="42"/>
      <c r="N174" s="41"/>
    </row>
    <row r="175" spans="8:14" ht="15.75">
      <c r="H175" s="16"/>
      <c r="M175" s="42"/>
      <c r="N175" s="41"/>
    </row>
    <row r="176" spans="8:14" ht="15.75">
      <c r="H176" s="16"/>
      <c r="M176" s="42"/>
      <c r="N176" s="41"/>
    </row>
    <row r="177" spans="8:14" ht="15.75">
      <c r="H177" s="16"/>
      <c r="M177" s="42"/>
      <c r="N177" s="41"/>
    </row>
    <row r="178" spans="8:14" ht="15.75">
      <c r="H178" s="16"/>
      <c r="M178" s="42"/>
      <c r="N178" s="41"/>
    </row>
    <row r="179" spans="8:14" ht="15.75">
      <c r="H179" s="16"/>
      <c r="M179" s="42"/>
      <c r="N179" s="41"/>
    </row>
    <row r="180" spans="8:14" ht="15.75">
      <c r="H180" s="16"/>
      <c r="M180" s="42"/>
      <c r="N180" s="41"/>
    </row>
    <row r="181" spans="8:14" ht="15.75">
      <c r="H181" s="16"/>
      <c r="M181" s="42"/>
      <c r="N181" s="41"/>
    </row>
    <row r="182" spans="8:14" ht="15.75">
      <c r="H182" s="16"/>
      <c r="M182" s="42"/>
      <c r="N182" s="41"/>
    </row>
    <row r="183" spans="8:14" ht="15.75">
      <c r="H183" s="16"/>
      <c r="M183" s="42"/>
      <c r="N183" s="41"/>
    </row>
    <row r="184" spans="8:14" ht="15.75">
      <c r="H184" s="16"/>
      <c r="M184" s="42"/>
      <c r="N184" s="41"/>
    </row>
    <row r="185" spans="8:14" ht="15.75">
      <c r="H185" s="15"/>
      <c r="M185" s="42"/>
      <c r="N185" s="41"/>
    </row>
    <row r="186" spans="8:14" ht="15.75">
      <c r="H186" s="16"/>
      <c r="J186" s="15"/>
      <c r="M186" s="42"/>
      <c r="N186" s="41"/>
    </row>
    <row r="187" spans="8:14" ht="15.75">
      <c r="H187" s="15"/>
      <c r="J187" s="16"/>
      <c r="M187" s="42"/>
      <c r="N187" s="41"/>
    </row>
    <row r="188" spans="8:14" ht="15.75">
      <c r="H188" s="16"/>
      <c r="J188" s="16"/>
      <c r="M188" s="42"/>
      <c r="N188" s="41"/>
    </row>
    <row r="189" spans="8:14" ht="15.75">
      <c r="H189" s="16"/>
      <c r="J189" s="16"/>
      <c r="M189" s="42"/>
      <c r="N189" s="41"/>
    </row>
    <row r="190" spans="8:14" ht="15.75">
      <c r="H190" s="16"/>
      <c r="J190" s="16"/>
      <c r="M190" s="42"/>
      <c r="N190" s="41"/>
    </row>
    <row r="191" spans="8:14" ht="15.75">
      <c r="H191" s="16"/>
      <c r="J191" s="16"/>
      <c r="M191" s="42"/>
      <c r="N191" s="41"/>
    </row>
    <row r="192" spans="8:14" ht="15.75">
      <c r="H192" s="16"/>
      <c r="J192" s="16"/>
      <c r="M192" s="42"/>
      <c r="N192" s="41"/>
    </row>
    <row r="193" spans="7:14" ht="15.75">
      <c r="H193" s="22"/>
      <c r="J193" s="16"/>
      <c r="M193" s="42"/>
      <c r="N193" s="41"/>
    </row>
    <row r="194" spans="7:14" ht="15.75">
      <c r="H194" s="22"/>
      <c r="J194" s="16"/>
      <c r="M194" s="42"/>
      <c r="N194" s="41"/>
    </row>
    <row r="195" spans="7:14" ht="15.75">
      <c r="G195" s="15"/>
      <c r="H195" s="22"/>
      <c r="J195" s="16"/>
      <c r="M195" s="42"/>
      <c r="N195" s="41"/>
    </row>
    <row r="196" spans="7:14" ht="15.75">
      <c r="G196" s="16"/>
      <c r="H196" s="22"/>
      <c r="J196" s="16"/>
      <c r="M196" s="42"/>
      <c r="N196" s="41"/>
    </row>
    <row r="197" spans="7:14" ht="15.75">
      <c r="G197" s="16"/>
      <c r="H197" s="22"/>
      <c r="J197" s="16"/>
      <c r="M197" s="42"/>
      <c r="N197" s="41"/>
    </row>
    <row r="198" spans="7:14" ht="15.75">
      <c r="G198" s="16"/>
      <c r="H198" s="22"/>
      <c r="J198" s="15"/>
      <c r="M198" s="42"/>
      <c r="N198" s="41"/>
    </row>
    <row r="199" spans="7:14" ht="15.75">
      <c r="G199" s="16"/>
      <c r="H199" s="22"/>
      <c r="J199" s="16"/>
      <c r="M199" s="42"/>
      <c r="N199" s="41"/>
    </row>
    <row r="200" spans="7:14" ht="15.75">
      <c r="G200" s="16"/>
      <c r="H200" s="22"/>
      <c r="J200" s="15"/>
      <c r="M200" s="42"/>
      <c r="N200" s="41"/>
    </row>
    <row r="201" spans="7:14" ht="15.75">
      <c r="G201" s="16"/>
      <c r="H201" s="22"/>
      <c r="J201" s="16"/>
      <c r="M201" s="42"/>
      <c r="N201" s="41"/>
    </row>
    <row r="202" spans="7:14" ht="15.75">
      <c r="G202" s="16"/>
      <c r="H202" s="22"/>
      <c r="J202" s="16"/>
      <c r="M202" s="42"/>
      <c r="N202" s="41"/>
    </row>
    <row r="203" spans="7:14" ht="15.75">
      <c r="G203" s="16"/>
      <c r="H203" s="22"/>
      <c r="J203" s="16"/>
      <c r="M203" s="42"/>
      <c r="N203" s="41"/>
    </row>
    <row r="204" spans="7:14" ht="15.75">
      <c r="G204" s="16"/>
      <c r="H204" s="22"/>
      <c r="J204" s="16"/>
      <c r="M204" s="42"/>
      <c r="N204" s="41"/>
    </row>
    <row r="205" spans="7:14" ht="15.75">
      <c r="G205" s="16"/>
      <c r="H205" s="22"/>
      <c r="J205" s="16"/>
      <c r="M205" s="42"/>
      <c r="N205" s="41"/>
    </row>
    <row r="206" spans="7:14" ht="15.75">
      <c r="G206" s="16"/>
      <c r="H206" s="22"/>
      <c r="J206" s="22"/>
      <c r="M206" s="42"/>
      <c r="N206" s="41"/>
    </row>
    <row r="207" spans="7:14" ht="15.75">
      <c r="G207" s="15"/>
      <c r="H207" s="23"/>
      <c r="J207" s="22"/>
      <c r="M207" s="42"/>
      <c r="N207" s="41"/>
    </row>
    <row r="208" spans="7:14" ht="15.75">
      <c r="G208" s="16"/>
      <c r="H208" s="16"/>
      <c r="J208" s="22"/>
      <c r="M208" s="42"/>
      <c r="N208" s="41"/>
    </row>
    <row r="209" spans="7:14" ht="15.75">
      <c r="G209" s="15"/>
      <c r="H209" s="16"/>
      <c r="J209" s="22"/>
      <c r="M209" s="42"/>
      <c r="N209" s="41"/>
    </row>
    <row r="210" spans="7:14" ht="15.75">
      <c r="G210" s="16"/>
      <c r="H210" s="16"/>
      <c r="J210" s="22"/>
      <c r="M210" s="42"/>
      <c r="N210" s="41"/>
    </row>
    <row r="211" spans="7:14" ht="15.75">
      <c r="G211" s="16"/>
      <c r="H211" s="16"/>
      <c r="J211" s="22"/>
      <c r="M211" s="42"/>
      <c r="N211" s="41"/>
    </row>
    <row r="212" spans="7:14" ht="15.75">
      <c r="G212" s="16"/>
      <c r="H212" s="16"/>
      <c r="J212" s="22"/>
      <c r="M212" s="42"/>
      <c r="N212" s="41"/>
    </row>
    <row r="213" spans="7:14" ht="15.75">
      <c r="G213" s="16"/>
      <c r="H213" s="16"/>
      <c r="J213" s="22"/>
      <c r="M213" s="42"/>
      <c r="N213" s="41"/>
    </row>
    <row r="214" spans="7:14" ht="15.75">
      <c r="G214" s="16"/>
      <c r="H214" s="16"/>
      <c r="J214" s="22"/>
      <c r="M214" s="42"/>
      <c r="N214" s="41"/>
    </row>
    <row r="215" spans="7:14" ht="15.75">
      <c r="G215" s="22"/>
      <c r="H215" s="16"/>
      <c r="J215" s="22"/>
      <c r="M215" s="42"/>
      <c r="N215" s="41"/>
    </row>
    <row r="216" spans="7:14" ht="15.75">
      <c r="G216" s="22"/>
      <c r="H216" s="9"/>
      <c r="J216" s="22"/>
      <c r="M216" s="42"/>
      <c r="N216" s="41"/>
    </row>
    <row r="217" spans="7:14" ht="15.75">
      <c r="G217" s="22"/>
      <c r="H217" s="9"/>
      <c r="J217" s="22"/>
      <c r="M217" s="42"/>
      <c r="N217" s="41"/>
    </row>
    <row r="218" spans="7:14" ht="15.75">
      <c r="G218" s="22"/>
      <c r="J218" s="22"/>
      <c r="M218" s="42"/>
      <c r="N218" s="41"/>
    </row>
    <row r="219" spans="7:14" ht="15.75">
      <c r="G219" s="22"/>
      <c r="J219" s="22"/>
      <c r="M219" s="42"/>
      <c r="N219" s="41"/>
    </row>
    <row r="220" spans="7:14" ht="15.75">
      <c r="G220" s="22"/>
      <c r="I220" s="24"/>
      <c r="J220" s="22"/>
      <c r="M220" s="42"/>
      <c r="N220" s="41"/>
    </row>
    <row r="221" spans="7:14" ht="15.75">
      <c r="G221" s="22"/>
      <c r="I221" s="25"/>
      <c r="J221" s="22"/>
      <c r="M221" s="42"/>
      <c r="N221" s="41"/>
    </row>
    <row r="222" spans="7:14" ht="15.75">
      <c r="G222" s="22"/>
      <c r="I222" s="25"/>
      <c r="J222" s="16"/>
      <c r="M222" s="42"/>
      <c r="N222" s="41"/>
    </row>
    <row r="223" spans="7:14" ht="15.75">
      <c r="G223" s="22"/>
      <c r="I223" s="25"/>
      <c r="J223" s="9"/>
      <c r="M223" s="42"/>
      <c r="N223" s="41"/>
    </row>
    <row r="224" spans="7:14" ht="15.75">
      <c r="G224" s="22"/>
      <c r="I224" s="25"/>
      <c r="J224" s="9"/>
      <c r="M224" s="42"/>
      <c r="N224" s="41"/>
    </row>
    <row r="225" spans="7:14" ht="15.75">
      <c r="G225" s="22"/>
      <c r="I225" s="25"/>
      <c r="M225" s="42"/>
      <c r="N225" s="41"/>
    </row>
    <row r="226" spans="7:14" ht="15.75">
      <c r="G226" s="22"/>
      <c r="I226" s="25"/>
      <c r="M226" s="42"/>
      <c r="N226" s="41"/>
    </row>
    <row r="227" spans="7:14" ht="15.75">
      <c r="G227" s="22"/>
      <c r="I227" s="25"/>
      <c r="M227" s="42"/>
      <c r="N227" s="41"/>
    </row>
    <row r="228" spans="7:14" ht="15.75">
      <c r="G228" s="22"/>
      <c r="I228" s="25"/>
      <c r="M228" s="42"/>
      <c r="N228" s="41"/>
    </row>
    <row r="229" spans="7:14" ht="15.75">
      <c r="G229" s="22"/>
      <c r="I229" s="25"/>
      <c r="M229" s="42"/>
      <c r="N229" s="41"/>
    </row>
    <row r="230" spans="7:14" ht="15.75">
      <c r="G230" s="22"/>
      <c r="I230" s="25"/>
      <c r="M230" s="42"/>
      <c r="N230" s="41"/>
    </row>
    <row r="231" spans="7:14" ht="15.75">
      <c r="G231" s="23"/>
      <c r="I231" s="25"/>
      <c r="M231" s="42"/>
      <c r="N231" s="41"/>
    </row>
    <row r="232" spans="7:14" ht="15.75">
      <c r="G232" s="9"/>
      <c r="I232" s="24"/>
      <c r="M232" s="42"/>
      <c r="N232" s="41"/>
    </row>
    <row r="233" spans="7:14" ht="15.75">
      <c r="G233" s="15"/>
      <c r="I233" s="25"/>
      <c r="M233" s="42"/>
      <c r="N233" s="41"/>
    </row>
    <row r="234" spans="7:14" ht="15.75">
      <c r="G234" s="16"/>
      <c r="I234" s="24"/>
      <c r="M234" s="42"/>
      <c r="N234" s="41"/>
    </row>
    <row r="235" spans="7:14" ht="15.75">
      <c r="G235" s="15"/>
      <c r="I235" s="25"/>
      <c r="M235" s="42"/>
      <c r="N235" s="41"/>
    </row>
    <row r="236" spans="7:14" ht="15.75">
      <c r="G236" s="16"/>
      <c r="I236" s="25"/>
      <c r="M236" s="42"/>
      <c r="N236" s="41"/>
    </row>
    <row r="237" spans="7:14" ht="15.75">
      <c r="G237" s="16"/>
      <c r="I237" s="25"/>
      <c r="M237" s="42"/>
      <c r="N237" s="41"/>
    </row>
    <row r="238" spans="7:14" ht="15.75">
      <c r="G238" s="16"/>
      <c r="I238" s="25"/>
      <c r="M238" s="42"/>
      <c r="N238" s="41"/>
    </row>
    <row r="239" spans="7:14" ht="15.75">
      <c r="G239" s="16"/>
      <c r="I239" s="25"/>
      <c r="M239" s="42"/>
      <c r="N239" s="41"/>
    </row>
    <row r="240" spans="7:14" ht="15.75">
      <c r="G240" s="16"/>
      <c r="I240" s="25"/>
      <c r="M240" s="42"/>
      <c r="N240" s="41"/>
    </row>
    <row r="241" spans="7:14" ht="15.75">
      <c r="G241" s="16"/>
      <c r="I241" s="25"/>
      <c r="M241" s="42"/>
      <c r="N241" s="41"/>
    </row>
    <row r="242" spans="7:14" ht="15.75">
      <c r="G242" s="16"/>
      <c r="I242" s="25"/>
      <c r="M242" s="42"/>
      <c r="N242" s="41"/>
    </row>
    <row r="243" spans="7:14" ht="15.75">
      <c r="G243" s="16"/>
      <c r="I243" s="25"/>
      <c r="M243" s="42"/>
      <c r="N243" s="41"/>
    </row>
    <row r="244" spans="7:14" ht="15.75">
      <c r="G244" s="9"/>
      <c r="I244" s="25"/>
      <c r="M244" s="42"/>
      <c r="N244" s="41"/>
    </row>
    <row r="245" spans="7:14" ht="15.75">
      <c r="G245" s="9"/>
      <c r="I245" s="25"/>
      <c r="M245" s="42"/>
      <c r="N245" s="41"/>
    </row>
    <row r="246" spans="7:14" ht="15.75">
      <c r="I246" s="25"/>
      <c r="M246" s="42"/>
      <c r="N246" s="41"/>
    </row>
    <row r="247" spans="7:14" ht="15.75">
      <c r="I247" s="25"/>
      <c r="M247" s="42"/>
      <c r="N247" s="41"/>
    </row>
    <row r="248" spans="7:14" ht="15.75">
      <c r="I248" s="25"/>
      <c r="M248" s="42"/>
      <c r="N248" s="41"/>
    </row>
    <row r="249" spans="7:14" ht="15.75">
      <c r="I249" s="25"/>
      <c r="M249" s="42"/>
      <c r="N249" s="41"/>
    </row>
    <row r="250" spans="7:14" ht="15.75">
      <c r="I250" s="25"/>
      <c r="M250" s="42"/>
      <c r="N250" s="41"/>
    </row>
    <row r="251" spans="7:14" ht="15.75">
      <c r="I251" s="25"/>
      <c r="M251" s="42"/>
      <c r="N251" s="41"/>
    </row>
    <row r="252" spans="7:14" ht="15.75">
      <c r="I252" s="25"/>
      <c r="M252" s="42"/>
      <c r="N252" s="41"/>
    </row>
    <row r="253" spans="7:14" ht="15.75">
      <c r="I253" s="25"/>
      <c r="M253" s="42"/>
      <c r="N253" s="41"/>
    </row>
    <row r="254" spans="7:14" ht="15.75">
      <c r="I254" s="25"/>
      <c r="M254" s="42"/>
      <c r="N254" s="41"/>
    </row>
    <row r="255" spans="7:14" ht="15.75">
      <c r="I255" s="25"/>
      <c r="M255" s="42"/>
      <c r="N255" s="41"/>
    </row>
    <row r="256" spans="7:14" ht="15.75">
      <c r="I256" s="25"/>
      <c r="M256" s="42"/>
      <c r="N256" s="41"/>
    </row>
    <row r="257" spans="9:14" ht="15.75">
      <c r="I257" s="25"/>
      <c r="M257" s="42"/>
      <c r="N257" s="41"/>
    </row>
    <row r="258" spans="9:14" ht="15.75">
      <c r="I258" s="25"/>
      <c r="M258" s="42"/>
      <c r="N258" s="41"/>
    </row>
    <row r="259" spans="9:14" ht="15.75">
      <c r="I259" s="25"/>
      <c r="M259" s="42"/>
      <c r="N259" s="41"/>
    </row>
    <row r="260" spans="9:14" ht="15.75">
      <c r="I260" s="25"/>
      <c r="M260" s="42"/>
      <c r="N260" s="41"/>
    </row>
    <row r="261" spans="9:14" ht="15.75">
      <c r="I261" s="25"/>
      <c r="M261" s="42"/>
      <c r="N261" s="41"/>
    </row>
    <row r="262" spans="9:14" ht="15.75">
      <c r="I262" s="25"/>
      <c r="M262" s="42"/>
      <c r="N262" s="41"/>
    </row>
    <row r="263" spans="9:14" ht="15.75">
      <c r="I263" s="25"/>
      <c r="M263" s="42"/>
      <c r="N263" s="41"/>
    </row>
    <row r="264" spans="9:14" ht="15.75">
      <c r="I264" s="25"/>
      <c r="M264" s="42"/>
      <c r="N264" s="41"/>
    </row>
    <row r="265" spans="9:14" ht="15.75">
      <c r="I265" s="25"/>
      <c r="M265" s="42"/>
      <c r="N265" s="41"/>
    </row>
    <row r="266" spans="9:14" ht="15.75">
      <c r="I266" s="26"/>
      <c r="M266" s="42"/>
      <c r="N266" s="41"/>
    </row>
    <row r="267" spans="9:14" ht="15.75">
      <c r="M267" s="42"/>
      <c r="N267" s="41"/>
    </row>
    <row r="268" spans="9:14" ht="15.75">
      <c r="M268" s="42"/>
      <c r="N268" s="41"/>
    </row>
    <row r="269" spans="9:14" ht="15.75">
      <c r="M269" s="42"/>
      <c r="N269" s="41"/>
    </row>
    <row r="270" spans="9:14" ht="15.75">
      <c r="M270" s="42"/>
      <c r="N270" s="41"/>
    </row>
    <row r="271" spans="9:14" ht="15.75">
      <c r="M271" s="42"/>
      <c r="N271" s="41"/>
    </row>
    <row r="272" spans="9:14" ht="15.75">
      <c r="M272" s="42"/>
      <c r="N272" s="41"/>
    </row>
    <row r="273" spans="13:14" ht="15.75">
      <c r="M273" s="42"/>
      <c r="N273" s="41"/>
    </row>
    <row r="274" spans="13:14" ht="15.75">
      <c r="M274" s="42"/>
      <c r="N274" s="41"/>
    </row>
    <row r="275" spans="13:14" ht="15.75">
      <c r="M275" s="42"/>
      <c r="N275" s="41"/>
    </row>
    <row r="276" spans="13:14" ht="15.75">
      <c r="M276" s="42"/>
      <c r="N276" s="41"/>
    </row>
    <row r="277" spans="13:14" ht="15.75">
      <c r="M277" s="42"/>
      <c r="N277" s="41"/>
    </row>
    <row r="278" spans="13:14" ht="15.75">
      <c r="M278" s="42"/>
      <c r="N278" s="41"/>
    </row>
    <row r="279" spans="13:14" ht="15.75">
      <c r="M279" s="42"/>
      <c r="N279" s="41"/>
    </row>
    <row r="280" spans="13:14" ht="15.75">
      <c r="M280" s="42"/>
      <c r="N280" s="41"/>
    </row>
    <row r="281" spans="13:14" ht="15.75">
      <c r="M281" s="42"/>
      <c r="N281" s="41"/>
    </row>
    <row r="282" spans="13:14" ht="15.75">
      <c r="M282" s="42"/>
      <c r="N282" s="41"/>
    </row>
    <row r="283" spans="13:14" ht="15.75">
      <c r="M283" s="42"/>
      <c r="N283" s="41"/>
    </row>
    <row r="284" spans="13:14" ht="15.75">
      <c r="M284" s="42"/>
      <c r="N284" s="41"/>
    </row>
    <row r="285" spans="13:14" ht="15.75">
      <c r="M285" s="42"/>
      <c r="N285" s="41"/>
    </row>
    <row r="286" spans="13:14" ht="15.75">
      <c r="M286" s="42"/>
      <c r="N286" s="41"/>
    </row>
    <row r="287" spans="13:14" ht="15.75">
      <c r="M287" s="42"/>
      <c r="N287" s="41"/>
    </row>
    <row r="288" spans="13:14" ht="15.75">
      <c r="M288" s="42"/>
      <c r="N288" s="41"/>
    </row>
    <row r="289" spans="13:14" ht="15.75">
      <c r="M289" s="42"/>
      <c r="N289" s="41"/>
    </row>
    <row r="290" spans="13:14" ht="15.75">
      <c r="M290" s="42"/>
      <c r="N290" s="41"/>
    </row>
    <row r="291" spans="13:14" ht="15.75">
      <c r="M291" s="42"/>
      <c r="N291" s="41"/>
    </row>
    <row r="292" spans="13:14" ht="15.75">
      <c r="M292" s="42"/>
      <c r="N292" s="41"/>
    </row>
    <row r="293" spans="13:14" ht="15.75">
      <c r="M293" s="42"/>
      <c r="N293" s="41"/>
    </row>
    <row r="294" spans="13:14" ht="15.75">
      <c r="M294" s="42"/>
      <c r="N294" s="41"/>
    </row>
    <row r="295" spans="13:14" ht="15.75">
      <c r="M295" s="42"/>
      <c r="N295" s="41"/>
    </row>
    <row r="296" spans="13:14" ht="15.75">
      <c r="M296" s="42"/>
      <c r="N296" s="41"/>
    </row>
    <row r="297" spans="13:14" ht="15.75">
      <c r="M297" s="42"/>
      <c r="N297" s="41"/>
    </row>
    <row r="298" spans="13:14" ht="15.75">
      <c r="M298" s="42"/>
      <c r="N298" s="41"/>
    </row>
    <row r="299" spans="13:14" ht="15.75">
      <c r="M299" s="42"/>
      <c r="N299" s="41"/>
    </row>
    <row r="300" spans="13:14" ht="15.75">
      <c r="M300" s="42"/>
      <c r="N300" s="41"/>
    </row>
    <row r="301" spans="13:14" ht="15.75">
      <c r="M301" s="42"/>
      <c r="N301" s="41"/>
    </row>
    <row r="302" spans="13:14" ht="15.75">
      <c r="M302" s="42"/>
      <c r="N302" s="41"/>
    </row>
    <row r="303" spans="13:14" ht="15.75">
      <c r="M303" s="42"/>
      <c r="N303" s="41"/>
    </row>
    <row r="304" spans="13:14" ht="15.75">
      <c r="M304" s="42"/>
      <c r="N304" s="41"/>
    </row>
    <row r="305" spans="13:14" ht="15.75">
      <c r="M305" s="42"/>
      <c r="N305" s="41"/>
    </row>
    <row r="306" spans="13:14" ht="15.75">
      <c r="M306" s="42"/>
      <c r="N306" s="41"/>
    </row>
    <row r="307" spans="13:14" ht="15.75">
      <c r="M307" s="42"/>
      <c r="N307" s="41"/>
    </row>
    <row r="308" spans="13:14" ht="15.75">
      <c r="M308" s="42"/>
      <c r="N308" s="41"/>
    </row>
    <row r="309" spans="13:14" ht="15.75">
      <c r="M309" s="42"/>
      <c r="N309" s="41"/>
    </row>
    <row r="310" spans="13:14" ht="15.75">
      <c r="M310" s="42"/>
      <c r="N310" s="41"/>
    </row>
    <row r="311" spans="13:14" ht="15.75">
      <c r="M311" s="42"/>
      <c r="N311" s="41"/>
    </row>
    <row r="312" spans="13:14" ht="15.75">
      <c r="M312" s="42"/>
      <c r="N312" s="41"/>
    </row>
    <row r="313" spans="13:14" ht="15.75">
      <c r="M313" s="42"/>
      <c r="N313" s="41"/>
    </row>
    <row r="314" spans="13:14" ht="15.75">
      <c r="M314" s="42"/>
      <c r="N314" s="41"/>
    </row>
    <row r="315" spans="13:14" ht="15.75">
      <c r="M315" s="42"/>
      <c r="N315" s="41"/>
    </row>
    <row r="316" spans="13:14" ht="15.75">
      <c r="M316" s="42"/>
      <c r="N316" s="41"/>
    </row>
    <row r="317" spans="13:14" ht="15.75">
      <c r="M317" s="42"/>
      <c r="N317" s="41"/>
    </row>
    <row r="318" spans="13:14" ht="15.75">
      <c r="M318" s="42"/>
      <c r="N318" s="41"/>
    </row>
    <row r="319" spans="13:14" ht="15.75">
      <c r="M319" s="42"/>
      <c r="N319" s="41"/>
    </row>
    <row r="320" spans="13:14" ht="15.75">
      <c r="M320" s="42"/>
      <c r="N320" s="41"/>
    </row>
    <row r="321" spans="13:14" ht="15.75">
      <c r="M321" s="42"/>
      <c r="N321" s="41"/>
    </row>
    <row r="322" spans="13:14" ht="15.75">
      <c r="M322" s="42"/>
      <c r="N322" s="41"/>
    </row>
    <row r="323" spans="13:14" ht="15.75">
      <c r="M323" s="42"/>
      <c r="N323" s="41"/>
    </row>
    <row r="324" spans="13:14" ht="15.75">
      <c r="M324" s="42"/>
      <c r="N324" s="41"/>
    </row>
    <row r="325" spans="13:14" ht="15.75">
      <c r="M325" s="42"/>
      <c r="N325" s="41"/>
    </row>
    <row r="326" spans="13:14" ht="15.75">
      <c r="M326" s="42"/>
      <c r="N326" s="41"/>
    </row>
    <row r="327" spans="13:14" ht="15.75">
      <c r="M327" s="42"/>
      <c r="N327" s="41"/>
    </row>
    <row r="328" spans="13:14" ht="15.75">
      <c r="M328" s="42"/>
      <c r="N328" s="41"/>
    </row>
    <row r="329" spans="13:14" ht="15.75">
      <c r="M329" s="42"/>
      <c r="N329" s="41"/>
    </row>
    <row r="330" spans="13:14" ht="15.75">
      <c r="M330" s="42"/>
      <c r="N330" s="41"/>
    </row>
    <row r="331" spans="13:14" ht="15.75">
      <c r="M331" s="42"/>
      <c r="N331" s="41"/>
    </row>
    <row r="332" spans="13:14" ht="15.75">
      <c r="M332" s="42"/>
      <c r="N332" s="41"/>
    </row>
    <row r="333" spans="13:14" ht="15.75">
      <c r="M333" s="42"/>
      <c r="N333" s="41"/>
    </row>
    <row r="334" spans="13:14" ht="15.75">
      <c r="M334" s="42"/>
      <c r="N334" s="41"/>
    </row>
    <row r="335" spans="13:14" ht="15.75">
      <c r="M335" s="42"/>
      <c r="N335" s="41"/>
    </row>
    <row r="336" spans="13:14" ht="15.75">
      <c r="M336" s="42"/>
      <c r="N336" s="41"/>
    </row>
    <row r="337" spans="13:14" ht="15.75">
      <c r="M337" s="42"/>
      <c r="N337" s="41"/>
    </row>
    <row r="338" spans="13:14" ht="15.75">
      <c r="M338" s="42"/>
      <c r="N338" s="41"/>
    </row>
    <row r="339" spans="13:14" ht="15.75">
      <c r="M339" s="42"/>
      <c r="N339" s="41"/>
    </row>
    <row r="340" spans="13:14" ht="15.75">
      <c r="M340" s="42"/>
      <c r="N340" s="41"/>
    </row>
    <row r="341" spans="13:14" ht="15.75">
      <c r="M341" s="42"/>
      <c r="N341" s="41"/>
    </row>
    <row r="342" spans="13:14" ht="15.75">
      <c r="M342" s="42"/>
      <c r="N342" s="41"/>
    </row>
    <row r="343" spans="13:14" ht="15.75">
      <c r="M343" s="42"/>
      <c r="N343" s="41"/>
    </row>
    <row r="344" spans="13:14" ht="15.75">
      <c r="M344" s="42"/>
      <c r="N344" s="41"/>
    </row>
    <row r="345" spans="13:14" ht="15.75">
      <c r="M345" s="42"/>
      <c r="N345" s="41"/>
    </row>
    <row r="346" spans="13:14" ht="15.75">
      <c r="M346" s="42"/>
      <c r="N346" s="41"/>
    </row>
    <row r="347" spans="13:14" ht="15.75">
      <c r="M347" s="42"/>
      <c r="N347" s="41"/>
    </row>
    <row r="348" spans="13:14" ht="15.75">
      <c r="M348" s="42"/>
      <c r="N348" s="41"/>
    </row>
    <row r="349" spans="13:14" ht="15.75">
      <c r="M349" s="42"/>
      <c r="N349" s="41"/>
    </row>
    <row r="350" spans="13:14" ht="15.75">
      <c r="M350" s="42"/>
      <c r="N350" s="41"/>
    </row>
    <row r="351" spans="13:14" ht="15.75">
      <c r="M351" s="42"/>
      <c r="N351" s="41"/>
    </row>
    <row r="352" spans="13:14" ht="15.75">
      <c r="M352" s="42"/>
      <c r="N352" s="41"/>
    </row>
    <row r="353" spans="13:14" ht="15.75">
      <c r="M353" s="42"/>
      <c r="N353" s="41"/>
    </row>
    <row r="354" spans="13:14" ht="15.75">
      <c r="M354" s="42"/>
      <c r="N354" s="41"/>
    </row>
    <row r="355" spans="13:14" ht="15.75">
      <c r="M355" s="42"/>
      <c r="N355" s="41"/>
    </row>
    <row r="356" spans="13:14" ht="15.75">
      <c r="M356" s="42"/>
      <c r="N356" s="41"/>
    </row>
    <row r="357" spans="13:14" ht="15.75">
      <c r="M357" s="42"/>
      <c r="N357" s="41"/>
    </row>
    <row r="358" spans="13:14" ht="15.75">
      <c r="M358" s="42"/>
      <c r="N358" s="41"/>
    </row>
    <row r="359" spans="13:14" ht="15.75">
      <c r="M359" s="42"/>
      <c r="N359" s="41"/>
    </row>
    <row r="360" spans="13:14" ht="15.75">
      <c r="M360" s="42"/>
      <c r="N360" s="41"/>
    </row>
    <row r="361" spans="13:14" ht="15.75">
      <c r="M361" s="42"/>
      <c r="N361" s="41"/>
    </row>
    <row r="362" spans="13:14" ht="15.75">
      <c r="M362" s="42"/>
      <c r="N362" s="41"/>
    </row>
    <row r="363" spans="13:14" ht="15.75">
      <c r="M363" s="42"/>
      <c r="N363" s="41"/>
    </row>
    <row r="364" spans="13:14" ht="15.75">
      <c r="M364" s="42"/>
      <c r="N364" s="41"/>
    </row>
    <row r="365" spans="13:14" ht="15.75">
      <c r="M365" s="42"/>
      <c r="N365" s="41"/>
    </row>
    <row r="366" spans="13:14" ht="15.75">
      <c r="M366" s="42"/>
      <c r="N366" s="41"/>
    </row>
    <row r="367" spans="13:14" ht="15.75">
      <c r="M367" s="42"/>
      <c r="N367" s="41"/>
    </row>
    <row r="368" spans="13:14" ht="15.75">
      <c r="M368" s="42"/>
      <c r="N368" s="41"/>
    </row>
    <row r="369" spans="13:14" ht="15.75">
      <c r="M369" s="42"/>
      <c r="N369" s="41"/>
    </row>
    <row r="370" spans="13:14" ht="15.75">
      <c r="M370" s="42"/>
      <c r="N370" s="41"/>
    </row>
    <row r="371" spans="13:14" ht="15.75">
      <c r="M371" s="42"/>
      <c r="N371" s="41"/>
    </row>
    <row r="372" spans="13:14" ht="15.75">
      <c r="M372" s="42"/>
      <c r="N372" s="41"/>
    </row>
    <row r="373" spans="13:14" ht="15.75">
      <c r="M373" s="42"/>
      <c r="N373" s="41"/>
    </row>
    <row r="374" spans="13:14" ht="15.75">
      <c r="M374" s="42"/>
      <c r="N374" s="41"/>
    </row>
    <row r="375" spans="13:14" ht="15.75">
      <c r="M375" s="42"/>
      <c r="N375" s="41"/>
    </row>
    <row r="376" spans="13:14" ht="15.75">
      <c r="M376" s="42"/>
      <c r="N376" s="41"/>
    </row>
    <row r="377" spans="13:14" ht="15.75">
      <c r="M377" s="42"/>
      <c r="N377" s="41"/>
    </row>
    <row r="378" spans="13:14" ht="15.75">
      <c r="M378" s="42"/>
      <c r="N378" s="41"/>
    </row>
    <row r="379" spans="13:14" ht="15.75">
      <c r="M379" s="42"/>
      <c r="N379" s="41"/>
    </row>
    <row r="380" spans="13:14" ht="15.75">
      <c r="M380" s="42"/>
      <c r="N380" s="41"/>
    </row>
    <row r="381" spans="13:14" ht="15.75">
      <c r="M381" s="42"/>
      <c r="N381" s="41"/>
    </row>
    <row r="382" spans="13:14" ht="15.75">
      <c r="M382" s="42"/>
      <c r="N382" s="41"/>
    </row>
    <row r="383" spans="13:14" ht="15.75">
      <c r="M383" s="42"/>
      <c r="N383" s="41"/>
    </row>
    <row r="384" spans="13:14" ht="15.75">
      <c r="M384" s="42"/>
      <c r="N384" s="41"/>
    </row>
    <row r="385" spans="13:14" ht="15.75">
      <c r="M385" s="42"/>
      <c r="N385" s="41"/>
    </row>
    <row r="386" spans="13:14" ht="15.75">
      <c r="M386" s="42"/>
      <c r="N386" s="41"/>
    </row>
    <row r="387" spans="13:14" ht="15.75">
      <c r="M387" s="42"/>
      <c r="N387" s="41"/>
    </row>
    <row r="388" spans="13:14" ht="15.75">
      <c r="M388" s="42"/>
      <c r="N388" s="41"/>
    </row>
    <row r="389" spans="13:14" ht="15.75">
      <c r="M389" s="42"/>
      <c r="N389" s="41"/>
    </row>
    <row r="390" spans="13:14" ht="15.75">
      <c r="M390" s="42"/>
      <c r="N390" s="41"/>
    </row>
    <row r="391" spans="13:14" ht="15.75">
      <c r="M391" s="42"/>
      <c r="N391" s="41"/>
    </row>
    <row r="392" spans="13:14" ht="15.75">
      <c r="M392" s="42"/>
      <c r="N392" s="41"/>
    </row>
    <row r="393" spans="13:14" ht="15.75">
      <c r="M393" s="42"/>
      <c r="N393" s="41"/>
    </row>
    <row r="394" spans="13:14" ht="15.75">
      <c r="M394" s="42"/>
      <c r="N394" s="41"/>
    </row>
    <row r="395" spans="13:14" ht="15.75">
      <c r="M395" s="42"/>
      <c r="N395" s="41"/>
    </row>
    <row r="396" spans="13:14" ht="15.75">
      <c r="M396" s="42"/>
      <c r="N396" s="41"/>
    </row>
    <row r="397" spans="13:14" ht="15.75">
      <c r="M397" s="42"/>
      <c r="N397" s="41"/>
    </row>
    <row r="398" spans="13:14" ht="15.75">
      <c r="M398" s="42"/>
      <c r="N398" s="41"/>
    </row>
    <row r="399" spans="13:14" ht="15.75">
      <c r="M399" s="42"/>
      <c r="N399" s="41"/>
    </row>
    <row r="400" spans="13:14" ht="15.75">
      <c r="M400" s="42"/>
      <c r="N400" s="41"/>
    </row>
    <row r="401" spans="13:14" ht="15.75">
      <c r="M401" s="42"/>
      <c r="N401" s="41"/>
    </row>
    <row r="402" spans="13:14" ht="15.75">
      <c r="M402" s="42"/>
      <c r="N402" s="41"/>
    </row>
    <row r="403" spans="13:14" ht="15.75">
      <c r="M403" s="42"/>
      <c r="N403" s="41"/>
    </row>
    <row r="404" spans="13:14" ht="15.75">
      <c r="M404" s="42"/>
      <c r="N404" s="41"/>
    </row>
    <row r="405" spans="13:14" ht="15.75">
      <c r="M405" s="42"/>
      <c r="N405" s="41"/>
    </row>
    <row r="406" spans="13:14" ht="15.75">
      <c r="M406" s="42"/>
      <c r="N406" s="41"/>
    </row>
    <row r="407" spans="13:14" ht="15.75">
      <c r="M407" s="42"/>
      <c r="N407" s="41"/>
    </row>
    <row r="408" spans="13:14" ht="15.75">
      <c r="M408" s="42"/>
      <c r="N408" s="41"/>
    </row>
    <row r="409" spans="13:14" ht="15.75">
      <c r="M409" s="42"/>
      <c r="N409" s="41"/>
    </row>
    <row r="410" spans="13:14" ht="15.75">
      <c r="M410" s="42"/>
      <c r="N410" s="41"/>
    </row>
    <row r="411" spans="13:14" ht="15.75">
      <c r="M411" s="42"/>
      <c r="N411" s="41"/>
    </row>
    <row r="412" spans="13:14" ht="15.75">
      <c r="M412" s="42"/>
      <c r="N412" s="41"/>
    </row>
    <row r="413" spans="13:14" ht="15.75">
      <c r="M413" s="42"/>
      <c r="N413" s="41"/>
    </row>
    <row r="414" spans="13:14" ht="15.75">
      <c r="M414" s="42"/>
      <c r="N414" s="41"/>
    </row>
    <row r="415" spans="13:14" ht="15.75">
      <c r="M415" s="42"/>
      <c r="N415" s="41"/>
    </row>
    <row r="416" spans="13:14" ht="15.75">
      <c r="M416" s="42"/>
      <c r="N416" s="41"/>
    </row>
    <row r="417" spans="13:14" ht="15.75">
      <c r="M417" s="42"/>
      <c r="N417" s="41"/>
    </row>
    <row r="418" spans="13:14" ht="15.75">
      <c r="M418" s="42"/>
      <c r="N418" s="41"/>
    </row>
    <row r="419" spans="13:14" ht="15.75">
      <c r="M419" s="42"/>
      <c r="N419" s="41"/>
    </row>
    <row r="420" spans="13:14" ht="15.75">
      <c r="M420" s="42"/>
      <c r="N420" s="41"/>
    </row>
    <row r="421" spans="13:14" ht="15.75">
      <c r="M421" s="42"/>
      <c r="N421" s="41"/>
    </row>
    <row r="422" spans="13:14" ht="15.75">
      <c r="M422" s="42"/>
      <c r="N422" s="41"/>
    </row>
    <row r="423" spans="13:14" ht="15.75">
      <c r="M423" s="42"/>
      <c r="N423" s="41"/>
    </row>
    <row r="424" spans="13:14" ht="15.75">
      <c r="M424" s="42"/>
      <c r="N424" s="41"/>
    </row>
    <row r="425" spans="13:14" ht="15.75">
      <c r="M425" s="42"/>
      <c r="N425" s="41"/>
    </row>
    <row r="426" spans="13:14" ht="15.75">
      <c r="M426" s="42"/>
      <c r="N426" s="41"/>
    </row>
    <row r="427" spans="13:14" ht="15.75">
      <c r="M427" s="42"/>
      <c r="N427" s="41"/>
    </row>
    <row r="428" spans="13:14" ht="15.75">
      <c r="M428" s="42"/>
      <c r="N428" s="41"/>
    </row>
    <row r="429" spans="13:14" ht="15.75">
      <c r="M429" s="42"/>
      <c r="N429" s="41"/>
    </row>
    <row r="430" spans="13:14" ht="15.75">
      <c r="M430" s="42"/>
      <c r="N430" s="41"/>
    </row>
    <row r="431" spans="13:14" ht="15.75">
      <c r="M431" s="42"/>
      <c r="N431" s="41"/>
    </row>
    <row r="432" spans="13:14" ht="15.75">
      <c r="M432" s="42"/>
      <c r="N432" s="41"/>
    </row>
    <row r="433" spans="13:14" ht="15.75">
      <c r="M433" s="42"/>
      <c r="N433" s="41"/>
    </row>
    <row r="434" spans="13:14" ht="15.75">
      <c r="M434" s="42"/>
      <c r="N434" s="41"/>
    </row>
    <row r="435" spans="13:14" ht="15.75">
      <c r="M435" s="42"/>
      <c r="N435" s="41"/>
    </row>
    <row r="436" spans="13:14" ht="15.75">
      <c r="M436" s="42"/>
      <c r="N436" s="41"/>
    </row>
    <row r="437" spans="13:14" ht="15.75">
      <c r="M437" s="42"/>
      <c r="N437" s="41"/>
    </row>
    <row r="438" spans="13:14" ht="15.75">
      <c r="M438" s="42"/>
      <c r="N438" s="41"/>
    </row>
    <row r="439" spans="13:14" ht="15.75">
      <c r="M439" s="42"/>
      <c r="N439" s="41"/>
    </row>
    <row r="440" spans="13:14" ht="15.75">
      <c r="M440" s="42"/>
      <c r="N440" s="41"/>
    </row>
    <row r="441" spans="13:14" ht="15.75">
      <c r="M441" s="43"/>
      <c r="N441" s="41"/>
    </row>
    <row r="442" spans="13:14" ht="15.75">
      <c r="M442" s="43"/>
      <c r="N442" s="41"/>
    </row>
    <row r="443" spans="13:14" ht="15.75">
      <c r="M443" s="42"/>
      <c r="N443" s="41"/>
    </row>
    <row r="444" spans="13:14" ht="15.75">
      <c r="M444" s="42"/>
      <c r="N444" s="41"/>
    </row>
    <row r="445" spans="13:14" ht="15.75">
      <c r="M445" s="42"/>
      <c r="N445" s="41"/>
    </row>
    <row r="446" spans="13:14" ht="15.75">
      <c r="M446" s="42"/>
      <c r="N446" s="41"/>
    </row>
    <row r="447" spans="13:14" ht="15.75">
      <c r="M447" s="42"/>
      <c r="N447" s="41"/>
    </row>
    <row r="448" spans="13:14" ht="15.75">
      <c r="M448" s="42"/>
      <c r="N448" s="41"/>
    </row>
    <row r="449" spans="13:14" ht="15.75">
      <c r="M449" s="42"/>
      <c r="N449" s="41"/>
    </row>
    <row r="450" spans="13:14" ht="15.75">
      <c r="M450" s="42"/>
      <c r="N450" s="41"/>
    </row>
    <row r="451" spans="13:14" ht="15.75">
      <c r="M451" s="42"/>
      <c r="N451" s="41"/>
    </row>
    <row r="452" spans="13:14" ht="15.75">
      <c r="M452" s="42"/>
      <c r="N452" s="41"/>
    </row>
    <row r="453" spans="13:14" ht="15.75">
      <c r="M453" s="42"/>
      <c r="N453" s="41"/>
    </row>
    <row r="454" spans="13:14" ht="15.75">
      <c r="M454" s="42"/>
      <c r="N454" s="41"/>
    </row>
    <row r="455" spans="13:14" ht="15.75">
      <c r="M455" s="42"/>
      <c r="N455" s="41"/>
    </row>
    <row r="456" spans="13:14" ht="15.75">
      <c r="M456" s="42"/>
      <c r="N456" s="41"/>
    </row>
    <row r="457" spans="13:14" ht="15.75">
      <c r="M457" s="42"/>
      <c r="N457" s="41"/>
    </row>
    <row r="458" spans="13:14" ht="15.75">
      <c r="M458" s="42"/>
      <c r="N458" s="41"/>
    </row>
    <row r="459" spans="13:14" ht="15.75">
      <c r="M459" s="42"/>
      <c r="N459" s="41"/>
    </row>
    <row r="460" spans="13:14" ht="15.75">
      <c r="M460" s="42"/>
      <c r="N460" s="41"/>
    </row>
    <row r="461" spans="13:14" ht="15.75">
      <c r="M461" s="42"/>
      <c r="N461" s="41"/>
    </row>
    <row r="462" spans="13:14" ht="15.75">
      <c r="M462" s="42"/>
      <c r="N462" s="41"/>
    </row>
    <row r="463" spans="13:14" ht="15.75">
      <c r="M463" s="42"/>
      <c r="N463" s="41"/>
    </row>
    <row r="464" spans="13:14" ht="15.75">
      <c r="M464" s="42"/>
      <c r="N464" s="41"/>
    </row>
    <row r="465" spans="13:14" ht="15.75">
      <c r="M465" s="42"/>
      <c r="N465" s="41"/>
    </row>
    <row r="466" spans="13:14" ht="15.75">
      <c r="M466" s="42"/>
      <c r="N466" s="41"/>
    </row>
    <row r="467" spans="13:14" ht="15.75">
      <c r="M467" s="42"/>
      <c r="N467" s="41"/>
    </row>
    <row r="468" spans="13:14" ht="15.75">
      <c r="M468" s="42"/>
      <c r="N468" s="41"/>
    </row>
    <row r="469" spans="13:14" ht="15.75">
      <c r="M469" s="42"/>
      <c r="N469" s="41"/>
    </row>
    <row r="470" spans="13:14" ht="15.75">
      <c r="M470" s="42"/>
      <c r="N470" s="41"/>
    </row>
    <row r="471" spans="13:14" ht="15.75">
      <c r="M471" s="42"/>
      <c r="N471" s="41"/>
    </row>
    <row r="472" spans="13:14" ht="15.75">
      <c r="M472" s="42"/>
      <c r="N472" s="41"/>
    </row>
    <row r="473" spans="13:14" ht="15.75">
      <c r="M473" s="42"/>
      <c r="N473" s="41"/>
    </row>
    <row r="474" spans="13:14" ht="15.75">
      <c r="M474" s="42"/>
      <c r="N474" s="41"/>
    </row>
    <row r="475" spans="13:14" ht="15.75">
      <c r="M475" s="42"/>
      <c r="N475" s="41"/>
    </row>
    <row r="476" spans="13:14" ht="15.75">
      <c r="M476" s="42"/>
      <c r="N476" s="41"/>
    </row>
    <row r="477" spans="13:14" ht="15.75">
      <c r="M477" s="42"/>
      <c r="N477" s="41"/>
    </row>
    <row r="478" spans="13:14" ht="15.75">
      <c r="M478" s="42"/>
      <c r="N478" s="41"/>
    </row>
    <row r="479" spans="13:14" ht="15.75">
      <c r="M479" s="42"/>
      <c r="N479" s="41"/>
    </row>
    <row r="480" spans="13:14" ht="15.75">
      <c r="M480" s="42"/>
      <c r="N480" s="41"/>
    </row>
    <row r="481" spans="13:14" ht="15.75">
      <c r="M481" s="42"/>
      <c r="N481" s="41"/>
    </row>
    <row r="482" spans="13:14" ht="15.75">
      <c r="M482" s="42"/>
      <c r="N482" s="41"/>
    </row>
    <row r="483" spans="13:14" ht="15.75">
      <c r="M483" s="42"/>
      <c r="N483" s="41"/>
    </row>
    <row r="484" spans="13:14" ht="15.75">
      <c r="M484" s="42"/>
      <c r="N484" s="41"/>
    </row>
    <row r="485" spans="13:14" ht="15.75">
      <c r="M485" s="42"/>
      <c r="N485" s="41"/>
    </row>
    <row r="486" spans="13:14" ht="15.75">
      <c r="M486" s="42"/>
      <c r="N486" s="41"/>
    </row>
    <row r="487" spans="13:14" ht="15.75">
      <c r="M487" s="42"/>
      <c r="N487" s="41"/>
    </row>
    <row r="488" spans="13:14" ht="15.75">
      <c r="M488" s="42"/>
      <c r="N488" s="41"/>
    </row>
    <row r="489" spans="13:14" ht="15.75">
      <c r="M489" s="42"/>
      <c r="N489" s="41"/>
    </row>
    <row r="490" spans="13:14" ht="15.75">
      <c r="M490" s="42"/>
      <c r="N490" s="41"/>
    </row>
    <row r="491" spans="13:14" ht="15.75">
      <c r="M491" s="42"/>
      <c r="N491" s="41"/>
    </row>
    <row r="492" spans="13:14" ht="15.75">
      <c r="M492" s="42"/>
      <c r="N492" s="41"/>
    </row>
    <row r="493" spans="13:14" ht="15.75">
      <c r="M493" s="42"/>
      <c r="N493" s="41"/>
    </row>
    <row r="494" spans="13:14" ht="15.75">
      <c r="M494" s="42"/>
      <c r="N494" s="41"/>
    </row>
    <row r="495" spans="13:14" ht="15.75">
      <c r="M495" s="42"/>
      <c r="N495" s="41"/>
    </row>
    <row r="496" spans="13:14" ht="15.75">
      <c r="M496" s="42"/>
      <c r="N496" s="41"/>
    </row>
    <row r="497" spans="13:14" ht="15.75">
      <c r="M497" s="42"/>
      <c r="N497" s="41"/>
    </row>
    <row r="498" spans="13:14" ht="15.75">
      <c r="M498" s="42"/>
      <c r="N498" s="41"/>
    </row>
    <row r="499" spans="13:14" ht="15.75">
      <c r="M499" s="42"/>
      <c r="N499" s="41"/>
    </row>
    <row r="500" spans="13:14" ht="15.75">
      <c r="M500" s="42"/>
      <c r="N500" s="41"/>
    </row>
    <row r="501" spans="13:14" ht="15.75">
      <c r="M501" s="42"/>
      <c r="N501" s="41"/>
    </row>
    <row r="502" spans="13:14" ht="15.75">
      <c r="M502" s="42"/>
      <c r="N502" s="41"/>
    </row>
    <row r="503" spans="13:14" ht="15.75">
      <c r="M503" s="42"/>
      <c r="N503" s="41"/>
    </row>
    <row r="504" spans="13:14" ht="15.75">
      <c r="M504" s="42"/>
      <c r="N504" s="41"/>
    </row>
    <row r="505" spans="13:14" ht="15.75">
      <c r="M505" s="42"/>
      <c r="N505" s="41"/>
    </row>
    <row r="506" spans="13:14" ht="15.75">
      <c r="M506" s="42"/>
      <c r="N506" s="41"/>
    </row>
    <row r="507" spans="13:14" ht="15.75">
      <c r="M507" s="42"/>
      <c r="N507" s="41"/>
    </row>
    <row r="508" spans="13:14" ht="15.75">
      <c r="M508" s="42"/>
      <c r="N508" s="41"/>
    </row>
    <row r="509" spans="13:14" ht="15.75">
      <c r="M509" s="42"/>
      <c r="N509" s="41"/>
    </row>
    <row r="510" spans="13:14" ht="15.75">
      <c r="M510" s="42"/>
      <c r="N510" s="41"/>
    </row>
    <row r="511" spans="13:14" ht="15.75">
      <c r="M511" s="42"/>
      <c r="N511" s="41"/>
    </row>
    <row r="512" spans="13:14" ht="15.75">
      <c r="M512" s="42"/>
      <c r="N512" s="41"/>
    </row>
    <row r="513" spans="13:14" ht="15.75">
      <c r="M513" s="42"/>
      <c r="N513" s="41"/>
    </row>
    <row r="514" spans="13:14" ht="15.75">
      <c r="M514" s="42"/>
      <c r="N514" s="41"/>
    </row>
    <row r="515" spans="13:14" ht="15.75">
      <c r="M515" s="42"/>
      <c r="N515" s="41"/>
    </row>
    <row r="516" spans="13:14" ht="15.75">
      <c r="M516" s="42"/>
      <c r="N516" s="41"/>
    </row>
    <row r="517" spans="13:14" ht="15.75">
      <c r="M517" s="42"/>
      <c r="N517" s="41"/>
    </row>
    <row r="518" spans="13:14" ht="15.75">
      <c r="M518" s="42"/>
      <c r="N518" s="41"/>
    </row>
    <row r="519" spans="13:14" ht="15.75">
      <c r="M519" s="42"/>
      <c r="N519" s="41"/>
    </row>
    <row r="520" spans="13:14" ht="15.75">
      <c r="M520" s="42"/>
      <c r="N520" s="41"/>
    </row>
    <row r="521" spans="13:14" ht="15.75">
      <c r="M521" s="42"/>
      <c r="N521" s="41"/>
    </row>
    <row r="522" spans="13:14" ht="15.75">
      <c r="M522" s="42"/>
      <c r="N522" s="41"/>
    </row>
    <row r="523" spans="13:14" ht="15.75">
      <c r="M523" s="42"/>
      <c r="N523" s="41"/>
    </row>
    <row r="524" spans="13:14" ht="15.75">
      <c r="M524" s="42"/>
      <c r="N524" s="41"/>
    </row>
    <row r="525" spans="13:14" ht="15.75">
      <c r="M525" s="42"/>
      <c r="N525" s="41"/>
    </row>
    <row r="526" spans="13:14" ht="15.75">
      <c r="M526" s="42"/>
      <c r="N526" s="41"/>
    </row>
    <row r="527" spans="13:14" ht="15.75">
      <c r="M527" s="42"/>
      <c r="N527" s="41"/>
    </row>
    <row r="528" spans="13:14" ht="15.75">
      <c r="M528" s="42"/>
      <c r="N528" s="41"/>
    </row>
    <row r="529" spans="13:14" ht="15.75">
      <c r="M529" s="42"/>
      <c r="N529" s="41"/>
    </row>
    <row r="530" spans="13:14" ht="15.75">
      <c r="M530" s="42"/>
      <c r="N530" s="41"/>
    </row>
    <row r="531" spans="13:14" ht="15.75">
      <c r="M531" s="42"/>
      <c r="N531" s="41"/>
    </row>
    <row r="532" spans="13:14" ht="15.75">
      <c r="M532" s="42"/>
      <c r="N532" s="41"/>
    </row>
    <row r="533" spans="13:14" ht="15.75">
      <c r="M533" s="42"/>
      <c r="N533" s="41"/>
    </row>
    <row r="534" spans="13:14" ht="15.75">
      <c r="M534" s="42"/>
      <c r="N534" s="41"/>
    </row>
    <row r="535" spans="13:14" ht="15.75">
      <c r="M535" s="42"/>
      <c r="N535" s="41"/>
    </row>
    <row r="536" spans="13:14" ht="15.75">
      <c r="M536" s="42"/>
      <c r="N536" s="41"/>
    </row>
    <row r="537" spans="13:14" ht="15.75">
      <c r="M537" s="42"/>
      <c r="N537" s="41"/>
    </row>
    <row r="538" spans="13:14" ht="15.75">
      <c r="M538" s="42"/>
      <c r="N538" s="41"/>
    </row>
    <row r="539" spans="13:14" ht="15.75">
      <c r="M539" s="42"/>
      <c r="N539" s="41"/>
    </row>
    <row r="540" spans="13:14" ht="15.75">
      <c r="M540" s="42"/>
      <c r="N540" s="41"/>
    </row>
    <row r="541" spans="13:14" ht="15.75">
      <c r="M541" s="42"/>
      <c r="N541" s="41"/>
    </row>
    <row r="542" spans="13:14" ht="15.75">
      <c r="M542" s="42"/>
      <c r="N542" s="41"/>
    </row>
    <row r="543" spans="13:14" ht="15.75">
      <c r="M543" s="42"/>
      <c r="N543" s="41"/>
    </row>
    <row r="544" spans="13:14" ht="15.75">
      <c r="M544" s="42"/>
      <c r="N544" s="41"/>
    </row>
    <row r="545" spans="13:14" ht="15.75">
      <c r="M545" s="42"/>
      <c r="N545" s="41"/>
    </row>
    <row r="546" spans="13:14" ht="15.75">
      <c r="M546" s="42"/>
      <c r="N546" s="41"/>
    </row>
    <row r="547" spans="13:14" ht="15.75">
      <c r="M547" s="42"/>
      <c r="N547" s="41"/>
    </row>
    <row r="548" spans="13:14" ht="15.75">
      <c r="M548" s="42"/>
      <c r="N548" s="41"/>
    </row>
    <row r="549" spans="13:14" ht="15.75">
      <c r="M549" s="42"/>
      <c r="N549" s="41"/>
    </row>
    <row r="550" spans="13:14" ht="15.75">
      <c r="M550" s="42"/>
      <c r="N550" s="41"/>
    </row>
    <row r="551" spans="13:14" ht="15.75">
      <c r="M551" s="42"/>
      <c r="N551" s="41"/>
    </row>
    <row r="552" spans="13:14" ht="15.75">
      <c r="M552" s="42"/>
      <c r="N552" s="41"/>
    </row>
    <row r="553" spans="13:14" ht="15.75">
      <c r="M553" s="42"/>
      <c r="N553" s="41"/>
    </row>
    <row r="554" spans="13:14" ht="15.75">
      <c r="M554" s="42"/>
      <c r="N554" s="41"/>
    </row>
    <row r="555" spans="13:14" ht="15.75">
      <c r="M555" s="42"/>
      <c r="N555" s="41"/>
    </row>
    <row r="556" spans="13:14" ht="15.75">
      <c r="M556" s="42"/>
      <c r="N556" s="41"/>
    </row>
    <row r="557" spans="13:14" ht="15.75">
      <c r="M557" s="42"/>
      <c r="N557" s="41"/>
    </row>
    <row r="558" spans="13:14" ht="15.75">
      <c r="M558" s="42"/>
      <c r="N558" s="41"/>
    </row>
    <row r="559" spans="13:14" ht="15.75">
      <c r="M559" s="42"/>
      <c r="N559" s="41"/>
    </row>
    <row r="560" spans="13:14" ht="15.75">
      <c r="M560" s="42"/>
      <c r="N560" s="41"/>
    </row>
    <row r="561" spans="11:14" ht="15.75">
      <c r="M561" s="42"/>
      <c r="N561" s="41"/>
    </row>
    <row r="562" spans="11:14" ht="15.75">
      <c r="M562" s="42"/>
      <c r="N562" s="41"/>
    </row>
    <row r="563" spans="11:14" ht="15.75">
      <c r="M563" s="42"/>
      <c r="N563" s="41"/>
    </row>
    <row r="564" spans="11:14" ht="15.75">
      <c r="M564" s="42"/>
      <c r="N564" s="41"/>
    </row>
    <row r="565" spans="11:14" ht="15.75">
      <c r="M565" s="42"/>
      <c r="N565" s="41"/>
    </row>
    <row r="566" spans="11:14" ht="15.75">
      <c r="M566" s="42"/>
      <c r="N566" s="41"/>
    </row>
    <row r="567" spans="11:14" ht="15.75">
      <c r="M567" s="42"/>
      <c r="N567" s="41"/>
    </row>
    <row r="568" spans="11:14" ht="15.75">
      <c r="M568" s="42"/>
      <c r="N568" s="41"/>
    </row>
    <row r="569" spans="11:14" ht="15.75">
      <c r="M569" s="42"/>
      <c r="N569" s="41"/>
    </row>
    <row r="570" spans="11:14" ht="15.75">
      <c r="M570" s="42"/>
      <c r="N570" s="41"/>
    </row>
    <row r="571" spans="11:14" ht="15.75">
      <c r="K571" s="25"/>
      <c r="M571" s="42"/>
      <c r="N571" s="41"/>
    </row>
    <row r="572" spans="11:14" ht="15.75">
      <c r="K572" s="25"/>
      <c r="M572" s="42"/>
      <c r="N572" s="41"/>
    </row>
    <row r="573" spans="11:14" ht="15.75">
      <c r="K573" s="25"/>
      <c r="M573" s="42"/>
      <c r="N573" s="41"/>
    </row>
    <row r="574" spans="11:14" ht="15.75">
      <c r="K574" s="25"/>
      <c r="M574" s="42"/>
      <c r="N574" s="41"/>
    </row>
    <row r="575" spans="11:14" ht="15.75">
      <c r="K575" s="25"/>
      <c r="M575" s="42"/>
      <c r="N575" s="41"/>
    </row>
    <row r="576" spans="11:14" ht="15.75">
      <c r="K576" s="25"/>
      <c r="M576" s="42"/>
      <c r="N576" s="41"/>
    </row>
    <row r="577" spans="11:14" ht="15.75">
      <c r="K577" s="25"/>
      <c r="M577" s="42"/>
      <c r="N577" s="41"/>
    </row>
    <row r="578" spans="11:14" ht="15.75">
      <c r="K578" s="25"/>
      <c r="M578" s="42"/>
      <c r="N578" s="41"/>
    </row>
    <row r="579" spans="11:14" ht="15.75">
      <c r="K579" s="25"/>
      <c r="M579" s="42"/>
      <c r="N579" s="41"/>
    </row>
    <row r="580" spans="11:14" ht="15.75">
      <c r="K580" s="25"/>
      <c r="M580" s="42"/>
      <c r="N580" s="41"/>
    </row>
    <row r="581" spans="11:14" ht="15.75">
      <c r="K581" s="25"/>
      <c r="M581" s="42"/>
      <c r="N581" s="41"/>
    </row>
    <row r="582" spans="11:14" ht="15.75">
      <c r="K582" s="25"/>
      <c r="M582" s="42"/>
      <c r="N582" s="41"/>
    </row>
    <row r="583" spans="11:14" ht="15.75">
      <c r="K583" s="25"/>
      <c r="M583" s="42"/>
      <c r="N583" s="41"/>
    </row>
    <row r="584" spans="11:14" ht="15.75">
      <c r="K584" s="25"/>
      <c r="M584" s="42"/>
      <c r="N584" s="41"/>
    </row>
    <row r="585" spans="11:14" ht="15.75">
      <c r="K585" s="25"/>
      <c r="M585" s="42"/>
      <c r="N585" s="41"/>
    </row>
    <row r="586" spans="11:14" ht="15.75">
      <c r="K586" s="25"/>
      <c r="M586" s="42"/>
      <c r="N586" s="41"/>
    </row>
    <row r="587" spans="11:14" ht="15.75">
      <c r="K587" s="24"/>
      <c r="M587" s="42"/>
      <c r="N587" s="41"/>
    </row>
    <row r="588" spans="11:14" ht="15.75">
      <c r="K588" s="25"/>
      <c r="M588" s="42"/>
      <c r="N588" s="41"/>
    </row>
    <row r="589" spans="11:14" ht="15.75">
      <c r="K589" s="25"/>
      <c r="M589" s="42"/>
      <c r="N589" s="41"/>
    </row>
    <row r="590" spans="11:14" ht="15.75">
      <c r="K590" s="25"/>
      <c r="M590" s="42"/>
      <c r="N590" s="41"/>
    </row>
    <row r="591" spans="11:14" ht="15.75">
      <c r="K591" s="25"/>
      <c r="M591" s="42"/>
      <c r="N591" s="41"/>
    </row>
    <row r="592" spans="11:14" ht="15.75">
      <c r="K592" s="25"/>
      <c r="M592" s="42"/>
      <c r="N592" s="41"/>
    </row>
    <row r="593" spans="10:20" ht="15.75">
      <c r="K593" s="25"/>
      <c r="M593" s="42"/>
      <c r="N593" s="41"/>
    </row>
    <row r="594" spans="10:20" ht="31.5" customHeight="1">
      <c r="M594" s="505"/>
      <c r="N594" s="505"/>
    </row>
    <row r="595" spans="10:20" ht="63" customHeight="1">
      <c r="M595" s="505"/>
      <c r="N595" s="505"/>
    </row>
    <row r="599" spans="10:20" ht="18">
      <c r="P599" s="44"/>
    </row>
    <row r="600" spans="10:20" ht="18">
      <c r="P600" s="44"/>
    </row>
    <row r="601" spans="10:20" ht="18">
      <c r="P601" s="44"/>
    </row>
    <row r="602" spans="10:20" ht="15.75">
      <c r="K602" s="42"/>
      <c r="L602" s="42"/>
      <c r="M602" s="42"/>
      <c r="N602" s="42"/>
      <c r="O602" s="42"/>
      <c r="P602" s="42"/>
      <c r="Q602" s="42"/>
      <c r="R602" s="42"/>
      <c r="S602" s="42"/>
      <c r="T602" s="42"/>
    </row>
    <row r="603" spans="10:20" ht="18">
      <c r="J603" s="44"/>
      <c r="K603" s="47"/>
      <c r="L603" s="42"/>
      <c r="M603" s="42"/>
      <c r="N603" s="42"/>
      <c r="O603" s="42"/>
      <c r="P603" s="42"/>
      <c r="Q603" s="42"/>
      <c r="R603" s="42"/>
      <c r="S603" s="42"/>
      <c r="T603" s="42"/>
    </row>
    <row r="604" spans="10:20" ht="19.5">
      <c r="J604" s="48"/>
      <c r="K604" s="47"/>
      <c r="L604" s="42"/>
      <c r="M604" s="42"/>
      <c r="N604" s="42"/>
      <c r="O604" s="42"/>
      <c r="P604" s="42"/>
      <c r="Q604" s="42"/>
      <c r="R604" s="42"/>
      <c r="S604" s="42"/>
      <c r="T604" s="42"/>
    </row>
    <row r="605" spans="10:20" ht="19.5">
      <c r="J605" s="48"/>
      <c r="K605" s="47"/>
      <c r="L605" s="42"/>
      <c r="M605" s="42"/>
      <c r="N605" s="42"/>
      <c r="O605" s="42"/>
      <c r="P605" s="42"/>
      <c r="Q605" s="42"/>
      <c r="R605" s="42"/>
      <c r="S605" s="42"/>
      <c r="T605" s="42"/>
    </row>
    <row r="606" spans="10:20" ht="19.5">
      <c r="J606" s="48"/>
      <c r="K606" s="47"/>
      <c r="L606" s="42"/>
      <c r="M606" s="42"/>
      <c r="N606" s="42"/>
      <c r="O606" s="42"/>
      <c r="P606" s="42"/>
      <c r="Q606" s="42"/>
      <c r="R606" s="42"/>
      <c r="S606" s="42"/>
      <c r="T606" s="42"/>
    </row>
    <row r="607" spans="10:20" ht="19.5">
      <c r="J607" s="48"/>
      <c r="K607" s="47"/>
      <c r="L607" s="42"/>
      <c r="M607" s="42"/>
      <c r="N607" s="42"/>
      <c r="O607" s="42"/>
      <c r="P607" s="42"/>
      <c r="Q607" s="42"/>
      <c r="R607" s="42"/>
      <c r="S607" s="42"/>
      <c r="T607" s="42"/>
    </row>
    <row r="608" spans="10:20" ht="19.5">
      <c r="J608" s="48"/>
      <c r="K608" s="47"/>
      <c r="L608" s="42"/>
      <c r="M608" s="42"/>
      <c r="N608" s="42"/>
      <c r="O608" s="42"/>
      <c r="P608" s="42"/>
      <c r="Q608" s="42"/>
      <c r="R608" s="42"/>
      <c r="S608" s="42"/>
      <c r="T608" s="42"/>
    </row>
    <row r="609" spans="10:20" ht="19.5">
      <c r="J609" s="48"/>
      <c r="K609" s="47"/>
      <c r="L609" s="42"/>
      <c r="M609" s="42"/>
      <c r="N609" s="42"/>
      <c r="O609" s="42"/>
      <c r="P609" s="42"/>
      <c r="Q609" s="42"/>
      <c r="R609" s="42"/>
      <c r="S609" s="42"/>
      <c r="T609" s="42"/>
    </row>
    <row r="610" spans="10:20" ht="19.5">
      <c r="J610" s="48"/>
      <c r="K610" s="47"/>
      <c r="L610" s="42"/>
      <c r="M610" s="42"/>
      <c r="N610" s="42"/>
      <c r="O610" s="42"/>
      <c r="P610" s="42"/>
      <c r="Q610" s="42"/>
      <c r="R610" s="42"/>
      <c r="S610" s="42"/>
      <c r="T610" s="42"/>
    </row>
    <row r="611" spans="10:20" ht="19.5">
      <c r="J611" s="48"/>
      <c r="K611" s="47"/>
      <c r="L611" s="42"/>
      <c r="M611" s="42"/>
      <c r="N611" s="42"/>
      <c r="O611" s="42"/>
      <c r="P611" s="42"/>
      <c r="Q611" s="42"/>
      <c r="R611" s="42"/>
      <c r="S611" s="42"/>
      <c r="T611" s="42"/>
    </row>
    <row r="612" spans="10:20" ht="19.5">
      <c r="J612" s="48"/>
      <c r="K612" s="47"/>
      <c r="L612" s="42"/>
      <c r="M612" s="42"/>
      <c r="N612" s="42"/>
      <c r="O612" s="42"/>
      <c r="P612" s="42"/>
      <c r="Q612" s="42"/>
      <c r="R612" s="42"/>
      <c r="S612" s="42"/>
      <c r="T612" s="42"/>
    </row>
    <row r="613" spans="10:20" ht="19.5">
      <c r="J613" s="48"/>
      <c r="K613" s="47"/>
      <c r="L613" s="42"/>
      <c r="M613" s="42"/>
      <c r="N613" s="42"/>
      <c r="O613" s="42"/>
      <c r="P613" s="42"/>
      <c r="Q613" s="42"/>
      <c r="R613" s="42"/>
      <c r="S613" s="42"/>
      <c r="T613" s="42"/>
    </row>
    <row r="614" spans="10:20" ht="15.75">
      <c r="K614" s="47"/>
      <c r="L614" s="42"/>
      <c r="M614" s="42"/>
      <c r="N614" s="42"/>
      <c r="O614" s="42"/>
      <c r="P614" s="42"/>
      <c r="Q614" s="42"/>
      <c r="R614" s="42"/>
      <c r="S614" s="42"/>
      <c r="T614" s="42"/>
    </row>
    <row r="615" spans="10:20" ht="15.75">
      <c r="T615" s="40"/>
    </row>
    <row r="626" spans="9:18" ht="15.75">
      <c r="I626" s="46"/>
      <c r="J626" s="46"/>
      <c r="K626" s="46"/>
      <c r="L626" s="46"/>
      <c r="M626" s="46"/>
      <c r="N626" s="46"/>
      <c r="O626" s="46"/>
      <c r="P626" s="46"/>
      <c r="Q626" s="46"/>
    </row>
    <row r="627" spans="9:18" ht="15.75">
      <c r="I627" s="46"/>
      <c r="J627" s="46"/>
      <c r="K627" s="46"/>
      <c r="L627" s="46"/>
      <c r="M627" s="46"/>
      <c r="N627" s="46"/>
      <c r="O627" s="46"/>
      <c r="P627" s="46"/>
      <c r="Q627" s="46"/>
    </row>
    <row r="628" spans="9:18" ht="15.75">
      <c r="I628" s="46"/>
      <c r="J628" s="46"/>
      <c r="K628" s="46"/>
      <c r="L628" s="46"/>
      <c r="M628" s="46"/>
      <c r="N628" s="46"/>
      <c r="O628" s="46"/>
      <c r="P628" s="46"/>
      <c r="Q628" s="46"/>
    </row>
    <row r="629" spans="9:18" ht="15.75">
      <c r="I629" s="46"/>
      <c r="J629" s="46"/>
      <c r="K629" s="46"/>
      <c r="L629" s="46"/>
      <c r="M629" s="46"/>
      <c r="N629" s="46"/>
      <c r="O629" s="46"/>
      <c r="P629" s="46"/>
      <c r="Q629" s="46"/>
    </row>
    <row r="630" spans="9:18" ht="15.75">
      <c r="I630" s="46"/>
      <c r="J630" s="46"/>
      <c r="K630" s="46"/>
      <c r="L630" s="46"/>
      <c r="M630" s="46"/>
      <c r="N630" s="46"/>
      <c r="O630" s="46"/>
      <c r="P630" s="46"/>
      <c r="Q630" s="46"/>
    </row>
    <row r="631" spans="9:18" ht="15.75">
      <c r="I631" s="46"/>
      <c r="J631" s="46"/>
      <c r="K631" s="46"/>
      <c r="L631" s="46"/>
      <c r="M631" s="46"/>
      <c r="N631" s="46"/>
      <c r="O631" s="46"/>
      <c r="P631" s="46"/>
      <c r="Q631" s="46"/>
    </row>
    <row r="632" spans="9:18" ht="15.75">
      <c r="I632" s="46"/>
      <c r="J632" s="46"/>
      <c r="K632" s="46"/>
      <c r="L632" s="46"/>
      <c r="M632" s="46"/>
      <c r="N632" s="46"/>
      <c r="O632" s="46"/>
      <c r="P632" s="46"/>
      <c r="Q632" s="46"/>
    </row>
    <row r="633" spans="9:18" ht="15.75">
      <c r="I633" s="46"/>
      <c r="J633" s="46"/>
      <c r="K633" s="46"/>
      <c r="L633" s="46"/>
      <c r="M633" s="46"/>
      <c r="N633" s="46"/>
      <c r="O633" s="46"/>
      <c r="P633" s="46"/>
      <c r="Q633" s="46"/>
    </row>
    <row r="634" spans="9:18" ht="15.75">
      <c r="I634" s="46"/>
      <c r="J634" s="46"/>
      <c r="K634" s="46"/>
      <c r="L634" s="46"/>
      <c r="M634" s="46"/>
      <c r="N634" s="46"/>
      <c r="O634" s="46"/>
      <c r="P634" s="46"/>
      <c r="Q634" s="46"/>
    </row>
    <row r="635" spans="9:18" ht="15.75">
      <c r="I635" s="46"/>
      <c r="J635" s="46"/>
      <c r="K635" s="46"/>
      <c r="L635" s="46"/>
      <c r="M635" s="46"/>
      <c r="N635" s="46"/>
      <c r="O635" s="46"/>
      <c r="P635" s="46"/>
      <c r="Q635" s="46"/>
    </row>
    <row r="636" spans="9:18">
      <c r="R636" s="45"/>
    </row>
  </sheetData>
  <mergeCells count="19">
    <mergeCell ref="F26:F28"/>
    <mergeCell ref="H18:H20"/>
    <mergeCell ref="I18:I20"/>
    <mergeCell ref="K18:T18"/>
    <mergeCell ref="O19:O20"/>
    <mergeCell ref="P19:P20"/>
    <mergeCell ref="Q19:Q20"/>
    <mergeCell ref="R19:R20"/>
    <mergeCell ref="S19:S20"/>
    <mergeCell ref="M594:N594"/>
    <mergeCell ref="M595:N595"/>
    <mergeCell ref="U18:U20"/>
    <mergeCell ref="V18:V20"/>
    <mergeCell ref="K19:K20"/>
    <mergeCell ref="L19:L20"/>
    <mergeCell ref="M19:M20"/>
    <mergeCell ref="N19:N20"/>
    <mergeCell ref="T19:T20"/>
    <mergeCell ref="N27:N29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D1:AD255"/>
  <sheetViews>
    <sheetView topLeftCell="A106" workbookViewId="0">
      <selection activeCell="M108" sqref="M108"/>
    </sheetView>
  </sheetViews>
  <sheetFormatPr defaultRowHeight="19.5"/>
  <cols>
    <col min="1" max="5" width="9.140625" style="27"/>
    <col min="6" max="6" width="6" style="27" customWidth="1"/>
    <col min="7" max="7" width="25.5703125" style="27" customWidth="1"/>
    <col min="8" max="9" width="9.140625" style="27"/>
    <col min="10" max="10" width="23.42578125" style="27" customWidth="1"/>
    <col min="11" max="11" width="23.85546875" style="27" customWidth="1"/>
    <col min="12" max="12" width="12.5703125" style="27" customWidth="1"/>
    <col min="13" max="13" width="9.140625" style="27"/>
    <col min="14" max="14" width="13.5703125" style="27" customWidth="1"/>
    <col min="15" max="15" width="11.85546875" style="27" customWidth="1"/>
    <col min="16" max="16" width="9.140625" style="27"/>
    <col min="17" max="17" width="13.42578125" style="27" customWidth="1"/>
    <col min="18" max="16384" width="9.140625" style="27"/>
  </cols>
  <sheetData>
    <row r="1" spans="5:15">
      <c r="E1" s="50"/>
      <c r="H1" s="50"/>
      <c r="K1" s="50"/>
    </row>
    <row r="2" spans="5:15">
      <c r="E2" s="50"/>
      <c r="H2" s="50"/>
      <c r="K2" s="50"/>
    </row>
    <row r="3" spans="5:15">
      <c r="E3" s="50"/>
      <c r="H3" s="50"/>
      <c r="K3" s="50"/>
      <c r="N3" s="24"/>
    </row>
    <row r="4" spans="5:15">
      <c r="E4" s="50"/>
      <c r="H4" s="50"/>
      <c r="K4" s="50"/>
      <c r="N4" s="25"/>
    </row>
    <row r="5" spans="5:15">
      <c r="E5" s="50"/>
      <c r="H5" s="50"/>
      <c r="K5" s="50"/>
      <c r="N5" s="25"/>
    </row>
    <row r="6" spans="5:15">
      <c r="E6" s="50"/>
      <c r="H6" s="50"/>
      <c r="K6" s="50"/>
      <c r="N6" s="25"/>
    </row>
    <row r="7" spans="5:15">
      <c r="E7" s="50"/>
      <c r="H7" s="50"/>
      <c r="K7" s="50"/>
      <c r="N7" s="25"/>
    </row>
    <row r="8" spans="5:15">
      <c r="E8" s="50"/>
      <c r="H8" s="50"/>
      <c r="K8" s="50"/>
      <c r="N8" s="25"/>
    </row>
    <row r="9" spans="5:15">
      <c r="E9" s="50"/>
      <c r="H9" s="50"/>
      <c r="K9" s="50"/>
      <c r="N9" s="25"/>
    </row>
    <row r="10" spans="5:15">
      <c r="E10" s="50"/>
      <c r="H10" s="50"/>
      <c r="K10" s="50"/>
      <c r="N10" s="25"/>
      <c r="O10" s="24"/>
    </row>
    <row r="11" spans="5:15">
      <c r="E11" s="50"/>
      <c r="H11" s="50"/>
      <c r="K11" s="50"/>
      <c r="N11" s="25"/>
      <c r="O11" s="25"/>
    </row>
    <row r="12" spans="5:15">
      <c r="E12" s="50"/>
      <c r="H12" s="50"/>
      <c r="K12" s="50"/>
      <c r="N12" s="25"/>
      <c r="O12" s="25"/>
    </row>
    <row r="13" spans="5:15">
      <c r="E13" s="50"/>
      <c r="H13" s="50"/>
      <c r="K13" s="50"/>
      <c r="N13" s="25"/>
      <c r="O13" s="25"/>
    </row>
    <row r="14" spans="5:15">
      <c r="E14" s="50"/>
      <c r="H14" s="50"/>
      <c r="K14" s="50"/>
      <c r="N14" s="25"/>
      <c r="O14" s="25"/>
    </row>
    <row r="15" spans="5:15">
      <c r="E15" s="50"/>
      <c r="H15" s="50"/>
      <c r="K15" s="50"/>
      <c r="N15" s="25"/>
      <c r="O15" s="25"/>
    </row>
    <row r="16" spans="5:15">
      <c r="E16" s="50"/>
      <c r="H16" s="50"/>
      <c r="K16" s="50"/>
      <c r="N16" s="25"/>
      <c r="O16" s="25"/>
    </row>
    <row r="17" spans="5:16">
      <c r="E17" s="50"/>
      <c r="H17" s="50"/>
      <c r="K17" s="50"/>
      <c r="N17" s="25"/>
      <c r="O17" s="25"/>
    </row>
    <row r="18" spans="5:16">
      <c r="E18" s="50"/>
      <c r="H18" s="50"/>
      <c r="K18" s="50"/>
      <c r="N18" s="25"/>
      <c r="O18" s="25"/>
    </row>
    <row r="19" spans="5:16">
      <c r="E19" s="50"/>
      <c r="H19" s="50"/>
      <c r="K19" s="50"/>
      <c r="N19" s="25"/>
      <c r="O19" s="25"/>
    </row>
    <row r="20" spans="5:16">
      <c r="E20" s="50"/>
      <c r="H20" s="50"/>
      <c r="K20" s="50"/>
      <c r="N20" s="25"/>
      <c r="O20" s="25"/>
    </row>
    <row r="21" spans="5:16">
      <c r="G21" s="30"/>
      <c r="H21" s="28"/>
      <c r="N21" s="25"/>
      <c r="O21" s="25"/>
    </row>
    <row r="22" spans="5:16">
      <c r="G22" s="30"/>
      <c r="H22" s="28"/>
      <c r="N22" s="25"/>
      <c r="O22" s="25"/>
    </row>
    <row r="23" spans="5:16">
      <c r="G23" s="30"/>
      <c r="H23" s="28"/>
      <c r="N23" s="25"/>
      <c r="O23" s="25"/>
      <c r="P23" s="24"/>
    </row>
    <row r="24" spans="5:16">
      <c r="G24" s="30"/>
      <c r="H24" s="28"/>
      <c r="N24" s="25"/>
      <c r="O24" s="25"/>
      <c r="P24" s="25"/>
    </row>
    <row r="25" spans="5:16">
      <c r="G25" s="30"/>
      <c r="H25" s="28"/>
      <c r="L25" s="24"/>
      <c r="N25" s="25"/>
      <c r="O25" s="25"/>
      <c r="P25" s="25"/>
    </row>
    <row r="26" spans="5:16">
      <c r="G26" s="24"/>
      <c r="H26" s="24"/>
      <c r="L26" s="25"/>
      <c r="N26" s="25"/>
      <c r="O26" s="25"/>
      <c r="P26" s="25"/>
    </row>
    <row r="27" spans="5:16">
      <c r="G27" s="25"/>
      <c r="H27" s="25"/>
      <c r="L27" s="25"/>
      <c r="N27" s="25"/>
      <c r="O27" s="25"/>
      <c r="P27" s="25"/>
    </row>
    <row r="28" spans="5:16">
      <c r="G28" s="25"/>
      <c r="H28" s="25"/>
      <c r="L28" s="25"/>
      <c r="N28" s="25"/>
      <c r="O28" s="25"/>
      <c r="P28" s="25"/>
    </row>
    <row r="29" spans="5:16" ht="20.25" thickBot="1">
      <c r="G29" s="25"/>
      <c r="H29" s="25"/>
      <c r="K29" s="214"/>
      <c r="L29" s="25"/>
      <c r="N29" s="25"/>
      <c r="O29" s="25"/>
      <c r="P29" s="25"/>
    </row>
    <row r="30" spans="5:16" ht="20.25" thickBot="1">
      <c r="G30" s="229">
        <v>6</v>
      </c>
      <c r="H30" s="25"/>
      <c r="K30" s="214"/>
      <c r="L30" s="25"/>
      <c r="N30" s="25"/>
      <c r="O30" s="25"/>
      <c r="P30" s="25"/>
    </row>
    <row r="31" spans="5:16" ht="20.25" thickBot="1">
      <c r="G31" s="230">
        <v>13</v>
      </c>
      <c r="H31" s="25"/>
      <c r="K31" s="214"/>
      <c r="L31" s="25"/>
      <c r="N31" s="25"/>
      <c r="O31" s="25"/>
      <c r="P31" s="25"/>
    </row>
    <row r="32" spans="5:16" ht="20.25" thickBot="1">
      <c r="G32" s="230">
        <v>4</v>
      </c>
      <c r="H32" s="25"/>
      <c r="K32" s="214">
        <v>109.77</v>
      </c>
      <c r="L32" s="25"/>
      <c r="O32" s="25"/>
      <c r="P32" s="25"/>
    </row>
    <row r="33" spans="7:16" ht="20.25" thickBot="1">
      <c r="G33" s="230">
        <v>4</v>
      </c>
      <c r="H33" s="25"/>
      <c r="K33" s="214">
        <v>0.65600000000000003</v>
      </c>
      <c r="L33" s="25"/>
      <c r="O33" s="25"/>
      <c r="P33" s="25"/>
    </row>
    <row r="34" spans="7:16" ht="20.25" thickBot="1">
      <c r="G34" s="230">
        <v>4</v>
      </c>
      <c r="H34" s="25"/>
      <c r="K34" s="214">
        <v>2.5000000000000001E-2</v>
      </c>
      <c r="L34" s="25"/>
      <c r="O34" s="24"/>
      <c r="P34" s="25"/>
    </row>
    <row r="35" spans="7:16" ht="20.25" thickBot="1">
      <c r="G35" s="230">
        <v>4</v>
      </c>
      <c r="H35" s="25"/>
      <c r="K35" s="214">
        <v>32.130000000000003</v>
      </c>
      <c r="L35" s="25"/>
      <c r="O35" s="25"/>
      <c r="P35" s="25"/>
    </row>
    <row r="36" spans="7:16" ht="20.25" thickBot="1">
      <c r="G36" s="230">
        <v>4</v>
      </c>
      <c r="H36" s="25"/>
      <c r="K36" s="214">
        <v>12.2</v>
      </c>
      <c r="L36" s="25"/>
      <c r="O36" s="25"/>
      <c r="P36" s="25"/>
    </row>
    <row r="37" spans="7:16" ht="20.25" thickBot="1">
      <c r="G37" s="230">
        <v>6</v>
      </c>
      <c r="H37" s="25"/>
      <c r="K37" s="214">
        <v>11.4</v>
      </c>
      <c r="L37" s="25"/>
      <c r="O37" s="8"/>
      <c r="P37" s="25"/>
    </row>
    <row r="38" spans="7:16" ht="20.25" thickBot="1">
      <c r="G38" s="230">
        <v>13</v>
      </c>
      <c r="H38" s="25"/>
      <c r="K38" s="214">
        <v>3.13</v>
      </c>
      <c r="L38" s="25"/>
      <c r="O38" s="25"/>
      <c r="P38" s="25"/>
    </row>
    <row r="39" spans="7:16" ht="20.25" thickBot="1">
      <c r="G39" s="230">
        <v>4</v>
      </c>
      <c r="H39" s="25"/>
      <c r="K39" s="214">
        <v>10.44</v>
      </c>
      <c r="L39" s="25"/>
      <c r="O39" s="25"/>
      <c r="P39" s="25"/>
    </row>
    <row r="40" spans="7:16" ht="20.25" thickBot="1">
      <c r="G40" s="230">
        <v>4</v>
      </c>
      <c r="H40" s="25"/>
      <c r="K40" s="214">
        <f>SUM(K32:K39)</f>
        <v>179.751</v>
      </c>
      <c r="L40" s="25"/>
      <c r="O40" s="25"/>
      <c r="P40" s="25"/>
    </row>
    <row r="41" spans="7:16" ht="20.25" thickBot="1">
      <c r="G41" s="230">
        <v>4</v>
      </c>
      <c r="H41" s="25"/>
      <c r="K41" s="214"/>
      <c r="L41" s="25"/>
      <c r="O41" s="25"/>
      <c r="P41" s="25"/>
    </row>
    <row r="42" spans="7:16" ht="20.25" thickBot="1">
      <c r="G42" s="230">
        <v>4</v>
      </c>
      <c r="H42" s="25"/>
      <c r="K42" s="214"/>
      <c r="L42" s="25"/>
      <c r="O42" s="25"/>
      <c r="P42" s="25"/>
    </row>
    <row r="43" spans="7:16" ht="20.25" thickBot="1">
      <c r="G43" s="230">
        <v>4</v>
      </c>
      <c r="H43" s="25"/>
      <c r="K43" s="214"/>
      <c r="L43" s="25"/>
      <c r="O43" s="25"/>
      <c r="P43" s="25"/>
    </row>
    <row r="44" spans="7:16" ht="20.25" thickBot="1">
      <c r="G44" s="230">
        <v>6</v>
      </c>
      <c r="H44" s="25"/>
      <c r="K44" s="214"/>
      <c r="L44" s="25"/>
      <c r="O44" s="25"/>
      <c r="P44" s="25"/>
    </row>
    <row r="45" spans="7:16" ht="20.25" thickBot="1">
      <c r="G45" s="230">
        <v>13</v>
      </c>
      <c r="H45" s="25"/>
      <c r="K45" s="215"/>
      <c r="L45" s="25"/>
      <c r="O45" s="25"/>
      <c r="P45" s="25"/>
    </row>
    <row r="46" spans="7:16" ht="20.25" thickBot="1">
      <c r="G46" s="230">
        <v>4</v>
      </c>
      <c r="H46" s="25"/>
      <c r="K46" s="215"/>
      <c r="L46" s="25"/>
      <c r="O46" s="25"/>
      <c r="P46" s="25"/>
    </row>
    <row r="47" spans="7:16" ht="20.25" thickBot="1">
      <c r="G47" s="230">
        <v>4</v>
      </c>
      <c r="H47" s="25"/>
      <c r="K47" s="215"/>
      <c r="L47" s="25"/>
      <c r="O47" s="25"/>
      <c r="P47" s="24"/>
    </row>
    <row r="48" spans="7:16" ht="20.25" thickBot="1">
      <c r="G48" s="230">
        <v>4</v>
      </c>
      <c r="H48" s="25"/>
      <c r="K48" s="215"/>
      <c r="L48" s="25"/>
      <c r="O48" s="25"/>
      <c r="P48" s="25"/>
    </row>
    <row r="49" spans="6:24" ht="20.25" thickBot="1">
      <c r="G49" s="230">
        <v>4</v>
      </c>
      <c r="H49" s="25"/>
      <c r="K49" s="216"/>
      <c r="L49" s="24"/>
      <c r="O49" s="25"/>
      <c r="P49" s="25"/>
      <c r="X49" s="24"/>
    </row>
    <row r="50" spans="6:24" ht="20.25" thickBot="1">
      <c r="G50" s="230">
        <v>4</v>
      </c>
      <c r="H50" s="25"/>
      <c r="I50" s="66"/>
      <c r="J50" s="66"/>
      <c r="K50" s="215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X50" s="25"/>
    </row>
    <row r="51" spans="6:24" ht="20.25" thickBot="1">
      <c r="G51" s="230">
        <v>6</v>
      </c>
      <c r="H51" s="25"/>
      <c r="I51" s="66"/>
      <c r="J51" s="66"/>
      <c r="K51" s="217"/>
      <c r="L51" s="51"/>
      <c r="M51" s="51"/>
      <c r="N51" s="51"/>
      <c r="O51" s="51"/>
      <c r="P51" s="51"/>
      <c r="Q51" s="51"/>
      <c r="R51" s="51"/>
      <c r="S51" s="51"/>
      <c r="T51" s="51"/>
      <c r="U51" s="66"/>
      <c r="V51" s="66"/>
      <c r="X51" s="25"/>
    </row>
    <row r="52" spans="6:24" ht="20.25" thickBot="1">
      <c r="G52" s="230">
        <v>13</v>
      </c>
      <c r="H52" s="25"/>
      <c r="I52" s="53"/>
      <c r="J52" s="53"/>
      <c r="K52" s="218"/>
      <c r="L52" s="46"/>
      <c r="M52" s="46"/>
      <c r="N52" s="46"/>
      <c r="O52" s="46"/>
      <c r="P52" s="46"/>
      <c r="Q52" s="46"/>
      <c r="R52" s="46"/>
      <c r="S52" s="46"/>
      <c r="T52" s="46"/>
      <c r="U52" s="54"/>
      <c r="V52" s="46"/>
      <c r="X52" s="25"/>
    </row>
    <row r="53" spans="6:24" ht="20.25" thickBot="1">
      <c r="F53" s="66"/>
      <c r="G53" s="230">
        <v>4</v>
      </c>
      <c r="H53" s="25"/>
      <c r="I53" s="66"/>
      <c r="J53" s="344" t="s">
        <v>98</v>
      </c>
      <c r="K53"/>
      <c r="L53" s="66"/>
      <c r="M53" s="66"/>
      <c r="N53" s="66"/>
      <c r="O53" s="66"/>
      <c r="P53" s="66"/>
      <c r="Q53" s="66"/>
      <c r="R53" s="66"/>
      <c r="S53" s="66"/>
      <c r="T53" s="66"/>
      <c r="U53" s="54"/>
      <c r="V53" s="46"/>
      <c r="X53" s="25"/>
    </row>
    <row r="54" spans="6:24" ht="20.25" thickBot="1">
      <c r="F54" s="66"/>
      <c r="G54" s="230">
        <v>4</v>
      </c>
      <c r="H54" s="66"/>
      <c r="I54" s="55"/>
      <c r="J54" s="345" t="s">
        <v>99</v>
      </c>
      <c r="K54"/>
      <c r="L54" s="55"/>
      <c r="M54" s="55"/>
      <c r="N54" s="55"/>
      <c r="O54" s="55"/>
      <c r="P54" s="55"/>
      <c r="Q54" s="55"/>
      <c r="R54" s="55"/>
      <c r="S54" s="66"/>
      <c r="T54" s="66"/>
      <c r="U54" s="54"/>
      <c r="V54" s="46"/>
      <c r="X54" s="25"/>
    </row>
    <row r="55" spans="6:24" ht="20.25" thickBot="1">
      <c r="F55" s="52"/>
      <c r="G55" s="230">
        <v>4</v>
      </c>
      <c r="H55" s="53"/>
      <c r="I55" s="46"/>
      <c r="J55" s="345" t="s">
        <v>100</v>
      </c>
      <c r="K55"/>
      <c r="L55" s="46"/>
      <c r="M55" s="46"/>
      <c r="N55" s="46"/>
      <c r="O55" s="46"/>
      <c r="P55" s="46"/>
      <c r="Q55" s="46"/>
      <c r="R55" s="46"/>
      <c r="S55" s="54"/>
      <c r="T55" s="46"/>
      <c r="U55" s="54"/>
      <c r="V55" s="46"/>
      <c r="X55" s="25"/>
    </row>
    <row r="56" spans="6:24" ht="20.25" thickBot="1">
      <c r="F56" s="52"/>
      <c r="G56" s="53">
        <f>SUM(G30:G55)</f>
        <v>148</v>
      </c>
      <c r="H56" s="53"/>
      <c r="I56" s="46"/>
      <c r="J56" s="346" t="s">
        <v>134</v>
      </c>
      <c r="K56" s="354">
        <v>12854</v>
      </c>
      <c r="L56" s="46"/>
      <c r="M56" s="46"/>
      <c r="N56" s="46"/>
      <c r="O56" s="46"/>
      <c r="P56" s="46"/>
      <c r="Q56" s="46"/>
      <c r="R56" s="46"/>
      <c r="S56" s="54"/>
      <c r="T56" s="46"/>
      <c r="U56" s="54"/>
      <c r="V56" s="46"/>
      <c r="X56" s="25"/>
    </row>
    <row r="57" spans="6:24">
      <c r="F57" s="52"/>
      <c r="G57" s="53"/>
      <c r="H57" s="53"/>
      <c r="I57" s="46"/>
      <c r="J57" s="345" t="s">
        <v>101</v>
      </c>
      <c r="K57"/>
      <c r="L57" s="46"/>
      <c r="M57" s="46"/>
      <c r="N57" s="46"/>
      <c r="O57" s="46"/>
      <c r="P57" s="46"/>
      <c r="Q57" s="46"/>
      <c r="R57" s="46"/>
      <c r="S57" s="54"/>
      <c r="T57" s="46"/>
      <c r="U57" s="54"/>
      <c r="V57" s="46"/>
      <c r="X57" s="25"/>
    </row>
    <row r="58" spans="6:24">
      <c r="F58" s="52"/>
      <c r="G58" s="53"/>
      <c r="H58" s="53"/>
      <c r="I58" s="46"/>
      <c r="J58" s="345" t="s">
        <v>102</v>
      </c>
      <c r="K58"/>
      <c r="L58" s="46"/>
      <c r="M58" s="46"/>
      <c r="N58" s="46"/>
      <c r="O58" s="46"/>
      <c r="P58" s="46"/>
      <c r="Q58" s="46"/>
      <c r="R58" s="46"/>
      <c r="S58" s="54"/>
      <c r="T58" s="46"/>
      <c r="U58" s="54"/>
      <c r="V58" s="70"/>
      <c r="X58" s="25"/>
    </row>
    <row r="59" spans="6:24">
      <c r="F59" s="52"/>
      <c r="G59" s="53"/>
      <c r="H59" s="53"/>
      <c r="I59" s="46"/>
      <c r="J59" s="347" t="s">
        <v>135</v>
      </c>
      <c r="K59" s="354">
        <v>7380</v>
      </c>
      <c r="L59" s="46"/>
      <c r="M59" s="46"/>
      <c r="N59" s="46"/>
      <c r="O59" s="46"/>
      <c r="P59" s="46"/>
      <c r="Q59" s="46"/>
      <c r="R59" s="46"/>
      <c r="S59" s="54"/>
      <c r="T59" s="46"/>
      <c r="U59" s="54"/>
      <c r="V59" s="46"/>
      <c r="X59" s="25"/>
    </row>
    <row r="60" spans="6:24" ht="20.25" thickBot="1">
      <c r="F60" s="52"/>
      <c r="G60" s="53"/>
      <c r="H60" s="53"/>
      <c r="I60" s="46"/>
      <c r="J60" s="348"/>
      <c r="K60"/>
      <c r="L60" s="61"/>
      <c r="M60" s="46"/>
      <c r="N60" s="46"/>
      <c r="O60" s="46"/>
      <c r="P60" s="46"/>
      <c r="Q60" s="46"/>
      <c r="R60" s="46"/>
      <c r="S60" s="54"/>
      <c r="T60" s="46"/>
      <c r="U60" s="54"/>
      <c r="V60" s="70"/>
      <c r="X60" s="25"/>
    </row>
    <row r="61" spans="6:24" ht="20.25" thickBot="1">
      <c r="F61" s="38"/>
      <c r="G61" s="53"/>
      <c r="H61" s="53"/>
      <c r="I61" s="46"/>
      <c r="J61" s="348" t="s">
        <v>136</v>
      </c>
      <c r="K61">
        <v>492</v>
      </c>
      <c r="L61" s="46"/>
      <c r="M61" s="46"/>
      <c r="N61" s="46"/>
      <c r="O61" s="46"/>
      <c r="P61" s="46"/>
      <c r="Q61" s="46"/>
      <c r="R61" s="70"/>
      <c r="S61" s="54"/>
      <c r="T61" s="70"/>
      <c r="U61" s="54"/>
      <c r="V61" s="46"/>
      <c r="X61" s="25"/>
    </row>
    <row r="62" spans="6:24">
      <c r="F62" s="52"/>
      <c r="G62" s="53"/>
      <c r="H62" s="53"/>
      <c r="I62" s="46"/>
      <c r="J62" s="345" t="s">
        <v>103</v>
      </c>
      <c r="K62"/>
      <c r="L62" s="46"/>
      <c r="M62" s="46"/>
      <c r="N62" s="46"/>
      <c r="O62" s="46"/>
      <c r="P62" s="46"/>
      <c r="Q62" s="46"/>
      <c r="R62" s="46"/>
      <c r="S62" s="54"/>
      <c r="T62" s="46"/>
      <c r="X62" s="25"/>
    </row>
    <row r="63" spans="6:24">
      <c r="F63" s="38"/>
      <c r="G63" s="53"/>
      <c r="H63" s="53"/>
      <c r="I63" s="46"/>
      <c r="J63" s="345" t="s">
        <v>104</v>
      </c>
      <c r="K63"/>
      <c r="L63" s="46"/>
      <c r="M63" s="46"/>
      <c r="N63" s="46"/>
      <c r="O63" s="46"/>
      <c r="P63" s="46"/>
      <c r="Q63" s="46"/>
      <c r="R63" s="70"/>
      <c r="S63" s="54"/>
      <c r="T63" s="70"/>
      <c r="X63" s="25"/>
    </row>
    <row r="64" spans="6:24" ht="20.25" thickBot="1">
      <c r="F64" s="52"/>
      <c r="G64" s="53"/>
      <c r="H64" s="53"/>
      <c r="I64" s="46"/>
      <c r="J64" s="346" t="s">
        <v>135</v>
      </c>
      <c r="K64" s="354">
        <v>10902</v>
      </c>
      <c r="L64" s="46"/>
      <c r="M64" s="46"/>
      <c r="N64" s="46"/>
      <c r="O64" s="46"/>
      <c r="P64" s="46"/>
      <c r="Q64" s="46"/>
      <c r="R64" s="46"/>
      <c r="S64" s="54"/>
      <c r="T64" s="46"/>
      <c r="X64" s="25"/>
    </row>
    <row r="65" spans="6:28" ht="20.25" thickBot="1">
      <c r="F65" s="52"/>
      <c r="G65" s="53"/>
      <c r="H65" s="53"/>
      <c r="I65" s="46"/>
      <c r="J65" s="349" t="s">
        <v>136</v>
      </c>
      <c r="K65">
        <v>948</v>
      </c>
      <c r="L65" s="46"/>
      <c r="M65" s="46"/>
      <c r="N65" s="46"/>
      <c r="O65" s="46"/>
      <c r="P65" s="46"/>
      <c r="Q65" s="46"/>
      <c r="R65" s="46"/>
      <c r="S65" s="54"/>
      <c r="T65" s="46"/>
      <c r="X65" s="25"/>
    </row>
    <row r="66" spans="6:28">
      <c r="G66" s="30"/>
      <c r="H66" s="30"/>
      <c r="I66" s="30"/>
      <c r="J66" s="345" t="s">
        <v>105</v>
      </c>
      <c r="K66"/>
      <c r="L66" s="25"/>
      <c r="X66" s="25"/>
    </row>
    <row r="67" spans="6:28">
      <c r="G67" s="30"/>
      <c r="H67" s="30"/>
      <c r="I67" s="30"/>
      <c r="J67" s="345" t="s">
        <v>106</v>
      </c>
      <c r="K67"/>
      <c r="L67" s="25"/>
      <c r="X67" s="25"/>
    </row>
    <row r="68" spans="6:28" ht="20.25" thickBot="1">
      <c r="G68" s="30"/>
      <c r="H68" s="30"/>
      <c r="I68" s="30"/>
      <c r="J68" s="346" t="s">
        <v>135</v>
      </c>
      <c r="K68" s="354">
        <v>10310</v>
      </c>
      <c r="X68" s="25"/>
      <c r="Y68" s="24"/>
    </row>
    <row r="69" spans="6:28">
      <c r="G69" s="30"/>
      <c r="H69" s="30"/>
      <c r="I69" s="30"/>
      <c r="J69" s="345" t="s">
        <v>107</v>
      </c>
      <c r="K69"/>
      <c r="X69" s="25"/>
      <c r="Y69" s="25"/>
      <c r="AB69" s="48"/>
    </row>
    <row r="70" spans="6:28">
      <c r="G70" s="30"/>
      <c r="H70" s="30"/>
      <c r="I70" s="30"/>
      <c r="J70" s="345" t="s">
        <v>108</v>
      </c>
      <c r="K70"/>
      <c r="X70" s="25"/>
      <c r="Y70" s="25"/>
      <c r="AB70" s="48"/>
    </row>
    <row r="71" spans="6:28" ht="20.25" thickBot="1">
      <c r="G71" s="30"/>
      <c r="H71" s="30"/>
      <c r="I71" s="29"/>
      <c r="J71" s="346" t="s">
        <v>135</v>
      </c>
      <c r="K71" s="354">
        <v>9539</v>
      </c>
      <c r="X71" s="25"/>
      <c r="Y71" s="25"/>
      <c r="AB71" s="48"/>
    </row>
    <row r="72" spans="6:28">
      <c r="F72" s="64"/>
      <c r="G72" s="64"/>
      <c r="H72" s="64"/>
      <c r="I72" s="64"/>
      <c r="J72" s="345" t="s">
        <v>109</v>
      </c>
      <c r="K72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25"/>
      <c r="Y72" s="25"/>
      <c r="AB72" s="48"/>
    </row>
    <row r="73" spans="6:28">
      <c r="F73" s="64"/>
      <c r="G73" s="64"/>
      <c r="H73" s="64"/>
      <c r="I73" s="55"/>
      <c r="J73" s="345" t="s">
        <v>110</v>
      </c>
      <c r="K73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25"/>
      <c r="Y73" s="25"/>
      <c r="AB73" s="48"/>
    </row>
    <row r="74" spans="6:28">
      <c r="F74" s="56"/>
      <c r="G74" s="57"/>
      <c r="H74" s="57"/>
      <c r="I74" s="58"/>
      <c r="J74" s="347" t="s">
        <v>135</v>
      </c>
      <c r="K74" s="354">
        <v>6954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25"/>
      <c r="Y74" s="25"/>
      <c r="AB74" s="48"/>
    </row>
    <row r="75" spans="6:28" ht="20.25" thickBot="1">
      <c r="F75" s="56"/>
      <c r="G75" s="57"/>
      <c r="H75" s="57"/>
      <c r="I75" s="58"/>
      <c r="J75" s="348"/>
      <c r="K75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25"/>
      <c r="Y75" s="25"/>
      <c r="AB75" s="48"/>
    </row>
    <row r="76" spans="6:28">
      <c r="F76" s="56"/>
      <c r="G76" s="57"/>
      <c r="H76" s="57"/>
      <c r="I76" s="58"/>
      <c r="J76" s="345" t="s">
        <v>111</v>
      </c>
      <c r="K76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25"/>
      <c r="Y76" s="25"/>
    </row>
    <row r="77" spans="6:28">
      <c r="F77" s="56"/>
      <c r="G77" s="57"/>
      <c r="H77" s="57"/>
      <c r="I77" s="58"/>
      <c r="J77" s="345" t="s">
        <v>112</v>
      </c>
      <c r="K77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25"/>
      <c r="Y77" s="25"/>
    </row>
    <row r="78" spans="6:28" ht="20.25" thickBot="1">
      <c r="F78" s="56"/>
      <c r="G78" s="57"/>
      <c r="H78" s="57"/>
      <c r="I78" s="58"/>
      <c r="J78" s="346" t="s">
        <v>135</v>
      </c>
      <c r="K78" s="354">
        <v>7350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25"/>
      <c r="Y78" s="25"/>
    </row>
    <row r="79" spans="6:28">
      <c r="F79" s="56"/>
      <c r="G79" s="57"/>
      <c r="H79" s="57"/>
      <c r="I79" s="58"/>
      <c r="J79" s="345" t="s">
        <v>113</v>
      </c>
      <c r="K79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25"/>
      <c r="Y79" s="25"/>
    </row>
    <row r="80" spans="6:28">
      <c r="F80" s="56"/>
      <c r="G80" s="57"/>
      <c r="H80" s="57"/>
      <c r="I80" s="58"/>
      <c r="J80" s="345" t="s">
        <v>114</v>
      </c>
      <c r="K80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25"/>
      <c r="Y80" s="25"/>
    </row>
    <row r="81" spans="6:25" ht="20.25" thickBot="1">
      <c r="F81" s="56"/>
      <c r="G81" s="57"/>
      <c r="H81" s="57"/>
      <c r="I81" s="58"/>
      <c r="J81" s="346" t="s">
        <v>135</v>
      </c>
      <c r="K81" s="354">
        <v>9350</v>
      </c>
      <c r="L81" s="58"/>
      <c r="M81" s="59"/>
      <c r="N81" s="58"/>
      <c r="O81" s="58"/>
      <c r="P81" s="58"/>
      <c r="Q81" s="58"/>
      <c r="R81" s="58"/>
      <c r="S81" s="58"/>
      <c r="T81" s="58"/>
      <c r="U81" s="59"/>
      <c r="V81" s="58"/>
      <c r="W81" s="58"/>
      <c r="X81" s="25"/>
      <c r="Y81" s="25"/>
    </row>
    <row r="82" spans="6:25">
      <c r="F82" s="56"/>
      <c r="G82" s="57"/>
      <c r="H82" s="57"/>
      <c r="I82" s="58"/>
      <c r="J82" s="350" t="s">
        <v>115</v>
      </c>
      <c r="K82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63"/>
      <c r="Y82" s="25"/>
    </row>
    <row r="83" spans="6:25">
      <c r="F83" s="56"/>
      <c r="G83" s="57"/>
      <c r="H83" s="57"/>
      <c r="I83" s="58"/>
      <c r="J83" s="350" t="s">
        <v>116</v>
      </c>
      <c r="K83"/>
      <c r="L83" s="58"/>
      <c r="M83" s="59"/>
      <c r="N83" s="58"/>
      <c r="O83" s="58"/>
      <c r="P83" s="58"/>
      <c r="Q83" s="58"/>
      <c r="R83" s="58"/>
      <c r="S83" s="58"/>
      <c r="T83" s="58"/>
      <c r="U83" s="59"/>
      <c r="V83" s="58"/>
      <c r="W83" s="58"/>
      <c r="X83" s="63"/>
      <c r="Y83" s="25"/>
    </row>
    <row r="84" spans="6:25" ht="20.25" thickBot="1">
      <c r="F84" s="56"/>
      <c r="G84" s="57"/>
      <c r="H84" s="57"/>
      <c r="I84" s="58"/>
      <c r="J84" s="346" t="s">
        <v>135</v>
      </c>
      <c r="K84" s="354">
        <v>7906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63"/>
      <c r="Y84" s="25"/>
    </row>
    <row r="85" spans="6:25">
      <c r="F85" s="56"/>
      <c r="G85" s="57"/>
      <c r="H85" s="57"/>
      <c r="I85" s="58"/>
      <c r="J85" s="345" t="s">
        <v>117</v>
      </c>
      <c r="K85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63"/>
      <c r="Y85" s="25"/>
    </row>
    <row r="86" spans="6:25">
      <c r="F86" s="56"/>
      <c r="G86" s="57"/>
      <c r="H86" s="57"/>
      <c r="I86" s="58"/>
      <c r="J86" s="345" t="s">
        <v>118</v>
      </c>
      <c r="K86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63"/>
      <c r="Y86" s="25"/>
    </row>
    <row r="87" spans="6:25">
      <c r="G87" s="30"/>
      <c r="H87" s="30"/>
      <c r="I87" s="30"/>
      <c r="J87" s="347" t="s">
        <v>135</v>
      </c>
      <c r="K87" s="354">
        <v>7663</v>
      </c>
      <c r="Y87" s="25"/>
    </row>
    <row r="88" spans="6:25">
      <c r="G88" s="30"/>
      <c r="H88" s="30"/>
      <c r="I88" s="30"/>
      <c r="J88" s="345"/>
      <c r="K88"/>
      <c r="Y88" s="25"/>
    </row>
    <row r="89" spans="6:25">
      <c r="G89" s="30"/>
      <c r="H89" s="30"/>
      <c r="I89" s="30"/>
      <c r="J89" s="345"/>
      <c r="K89"/>
      <c r="Y89" s="25"/>
    </row>
    <row r="90" spans="6:25" ht="20.25" thickBot="1">
      <c r="G90" s="30"/>
      <c r="H90" s="30"/>
      <c r="I90" s="30"/>
      <c r="J90" s="348"/>
      <c r="K90"/>
      <c r="Y90" s="25"/>
    </row>
    <row r="91" spans="6:25">
      <c r="G91" s="30"/>
      <c r="H91" s="30"/>
      <c r="I91" s="30"/>
      <c r="J91" s="345" t="s">
        <v>119</v>
      </c>
      <c r="K91"/>
      <c r="Y91" s="25"/>
    </row>
    <row r="92" spans="6:25">
      <c r="G92" s="30"/>
      <c r="H92" s="30"/>
      <c r="I92" s="30"/>
      <c r="J92" s="345" t="s">
        <v>120</v>
      </c>
      <c r="K92"/>
    </row>
    <row r="93" spans="6:25" ht="20.25" thickBot="1">
      <c r="G93" s="30"/>
      <c r="H93" s="30"/>
      <c r="I93" s="30"/>
      <c r="J93" s="346" t="s">
        <v>134</v>
      </c>
      <c r="K93" s="354">
        <v>2394</v>
      </c>
    </row>
    <row r="94" spans="6:25">
      <c r="G94" s="30"/>
      <c r="H94" s="30"/>
      <c r="I94" s="30"/>
      <c r="J94" s="345" t="s">
        <v>121</v>
      </c>
      <c r="K94"/>
    </row>
    <row r="95" spans="6:25">
      <c r="G95" s="30"/>
      <c r="H95" s="30"/>
      <c r="I95" s="30"/>
      <c r="J95" s="345" t="s">
        <v>122</v>
      </c>
      <c r="K95"/>
    </row>
    <row r="96" spans="6:25" ht="20.25" thickBot="1">
      <c r="G96" s="30"/>
      <c r="H96" s="30"/>
      <c r="I96" s="30"/>
      <c r="J96" s="346" t="s">
        <v>135</v>
      </c>
      <c r="K96" s="354">
        <v>10425</v>
      </c>
    </row>
    <row r="97" spans="7:27" s="65" customFormat="1" ht="19.5" customHeight="1">
      <c r="J97" s="345" t="s">
        <v>113</v>
      </c>
      <c r="K97"/>
    </row>
    <row r="98" spans="7:27" s="65" customFormat="1" ht="19.5" customHeight="1">
      <c r="J98" s="345" t="s">
        <v>123</v>
      </c>
      <c r="K98"/>
    </row>
    <row r="99" spans="7:27" ht="20.25" thickBot="1">
      <c r="G99" s="30"/>
      <c r="H99" s="56"/>
      <c r="I99" s="57"/>
      <c r="J99" s="346" t="s">
        <v>135</v>
      </c>
      <c r="K99" s="354">
        <v>9750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63"/>
      <c r="AA99" s="58"/>
    </row>
    <row r="100" spans="7:27">
      <c r="G100" s="29"/>
      <c r="H100" s="56"/>
      <c r="I100" s="57"/>
      <c r="J100" s="345" t="s">
        <v>124</v>
      </c>
      <c r="K100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63"/>
      <c r="AA100" s="58"/>
    </row>
    <row r="101" spans="7:27">
      <c r="G101" s="30"/>
      <c r="H101" s="56"/>
      <c r="I101" s="57"/>
      <c r="J101" s="345" t="s">
        <v>125</v>
      </c>
      <c r="K101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63"/>
      <c r="AA101" s="58"/>
    </row>
    <row r="102" spans="7:27" ht="20.25" thickBot="1">
      <c r="G102" s="30"/>
      <c r="H102" s="56"/>
      <c r="I102" s="57"/>
      <c r="J102" s="346" t="s">
        <v>135</v>
      </c>
      <c r="K102" s="354">
        <v>6864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63"/>
      <c r="AA102" s="58"/>
    </row>
    <row r="103" spans="7:27">
      <c r="G103" s="30"/>
      <c r="H103" s="56"/>
      <c r="I103" s="57"/>
      <c r="J103" s="345" t="s">
        <v>126</v>
      </c>
      <c r="K103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63"/>
      <c r="AA103" s="58"/>
    </row>
    <row r="104" spans="7:27">
      <c r="G104" s="30"/>
      <c r="H104" s="56"/>
      <c r="I104" s="57"/>
      <c r="J104" s="345" t="s">
        <v>127</v>
      </c>
      <c r="K104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63"/>
      <c r="AA104" s="58"/>
    </row>
    <row r="105" spans="7:27" ht="20.25" thickBot="1">
      <c r="G105" s="30"/>
      <c r="H105" s="56"/>
      <c r="I105" s="57"/>
      <c r="J105" s="346" t="s">
        <v>135</v>
      </c>
      <c r="K105" s="354">
        <v>9626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63"/>
      <c r="AA105" s="58"/>
    </row>
    <row r="106" spans="7:27" ht="20.25" thickBot="1">
      <c r="G106" s="30"/>
      <c r="H106" s="56"/>
      <c r="I106" s="57"/>
      <c r="J106" s="348" t="s">
        <v>136</v>
      </c>
      <c r="K106">
        <v>6460</v>
      </c>
      <c r="L106" s="58"/>
      <c r="M106" s="58"/>
      <c r="N106" s="58"/>
      <c r="O106" s="59"/>
      <c r="P106" s="58"/>
      <c r="Q106" s="58"/>
      <c r="R106" s="58"/>
      <c r="S106" s="58"/>
      <c r="T106" s="58"/>
      <c r="U106" s="58"/>
      <c r="V106" s="58"/>
      <c r="W106" s="59"/>
      <c r="X106" s="58"/>
      <c r="Y106" s="58"/>
      <c r="Z106" s="63"/>
      <c r="AA106" s="58"/>
    </row>
    <row r="107" spans="7:27">
      <c r="G107" s="30"/>
      <c r="H107" s="56"/>
      <c r="I107" s="57"/>
      <c r="J107" s="345" t="s">
        <v>128</v>
      </c>
      <c r="K107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63"/>
      <c r="AA107" s="60"/>
    </row>
    <row r="108" spans="7:27">
      <c r="G108" s="30"/>
      <c r="H108" s="56"/>
      <c r="I108" s="57"/>
      <c r="J108" s="345" t="s">
        <v>129</v>
      </c>
      <c r="K108"/>
      <c r="L108" s="58"/>
      <c r="M108" s="58"/>
      <c r="N108" s="58"/>
      <c r="O108" s="59"/>
      <c r="P108" s="58"/>
      <c r="Q108" s="58"/>
      <c r="R108" s="58"/>
      <c r="S108" s="58"/>
      <c r="T108" s="58"/>
      <c r="U108" s="58"/>
      <c r="V108" s="58"/>
      <c r="W108" s="59"/>
      <c r="X108" s="58"/>
      <c r="Y108" s="58"/>
      <c r="Z108" s="63"/>
      <c r="AA108" s="58"/>
    </row>
    <row r="109" spans="7:27" ht="20.25" thickBot="1">
      <c r="G109" s="30"/>
      <c r="H109" s="56"/>
      <c r="I109" s="57"/>
      <c r="J109" s="346" t="s">
        <v>134</v>
      </c>
      <c r="K109" s="354">
        <v>9074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63"/>
      <c r="AA109" s="60"/>
    </row>
    <row r="110" spans="7:27">
      <c r="G110" s="30"/>
      <c r="H110" s="56"/>
      <c r="I110" s="57"/>
      <c r="J110" s="351" t="s">
        <v>130</v>
      </c>
      <c r="K110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63"/>
      <c r="AA110" s="58"/>
    </row>
    <row r="111" spans="7:27">
      <c r="G111" s="30"/>
      <c r="H111" s="56"/>
      <c r="I111" s="57"/>
      <c r="J111" s="351" t="s">
        <v>131</v>
      </c>
      <c r="K111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63"/>
      <c r="AA111" s="58"/>
    </row>
    <row r="112" spans="7:27" ht="20.25" thickBot="1">
      <c r="G112" s="30"/>
      <c r="H112" s="29"/>
      <c r="J112" s="352" t="s">
        <v>135</v>
      </c>
      <c r="K112" s="354">
        <v>9839</v>
      </c>
    </row>
    <row r="113" spans="7:30" ht="20.25" thickBot="1">
      <c r="G113" s="30"/>
      <c r="H113" s="30"/>
      <c r="J113" s="353" t="s">
        <v>132</v>
      </c>
      <c r="K113"/>
    </row>
    <row r="114" spans="7:30" ht="20.25" thickBot="1">
      <c r="G114" s="30"/>
      <c r="H114" s="30"/>
      <c r="J114" s="353" t="s">
        <v>132</v>
      </c>
      <c r="K114">
        <f>SUM(K53:K113)</f>
        <v>156080</v>
      </c>
    </row>
    <row r="115" spans="7:30" ht="20.25" thickBot="1">
      <c r="G115" s="30"/>
      <c r="H115" s="30"/>
      <c r="J115" s="353"/>
      <c r="K115"/>
    </row>
    <row r="116" spans="7:30" ht="20.25" thickBot="1">
      <c r="G116" s="30"/>
      <c r="H116" s="30"/>
      <c r="J116" s="513" t="s">
        <v>133</v>
      </c>
      <c r="K116" s="514"/>
    </row>
    <row r="117" spans="7:30">
      <c r="G117" s="30"/>
      <c r="H117" s="30"/>
    </row>
    <row r="118" spans="7:30">
      <c r="G118" s="30"/>
      <c r="H118" s="30"/>
      <c r="K118" s="56"/>
      <c r="L118" s="57"/>
      <c r="M118" s="57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63"/>
      <c r="AD118" s="58"/>
    </row>
    <row r="119" spans="7:30">
      <c r="G119" s="30"/>
      <c r="H119" s="30"/>
      <c r="K119" s="56"/>
      <c r="L119" s="57"/>
      <c r="M119" s="57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63"/>
      <c r="AD119" s="58"/>
    </row>
    <row r="120" spans="7:30">
      <c r="G120" s="30"/>
      <c r="H120" s="30"/>
      <c r="K120" s="56"/>
      <c r="L120" s="57"/>
      <c r="M120" s="57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63"/>
      <c r="AD120" s="58"/>
    </row>
    <row r="121" spans="7:30">
      <c r="G121" s="30"/>
      <c r="H121" s="30"/>
      <c r="K121" s="56"/>
      <c r="L121" s="57"/>
      <c r="M121" s="57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48"/>
      <c r="Y121" s="58"/>
      <c r="Z121" s="58"/>
      <c r="AA121" s="58"/>
      <c r="AB121" s="58"/>
      <c r="AC121" s="63"/>
      <c r="AD121" s="58"/>
    </row>
    <row r="122" spans="7:30">
      <c r="G122" s="30"/>
      <c r="H122" s="30"/>
      <c r="K122" s="56"/>
      <c r="L122" s="57"/>
      <c r="M122" s="57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48"/>
      <c r="Y122" s="58"/>
      <c r="Z122" s="58"/>
      <c r="AA122" s="58"/>
      <c r="AB122" s="58"/>
      <c r="AC122" s="63"/>
      <c r="AD122" s="58"/>
    </row>
    <row r="123" spans="7:30">
      <c r="G123" s="30"/>
      <c r="H123" s="30"/>
      <c r="K123" s="56"/>
      <c r="L123" s="57"/>
      <c r="M123" s="57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48"/>
      <c r="Y123" s="58"/>
      <c r="Z123" s="58"/>
      <c r="AA123" s="58"/>
      <c r="AB123" s="58"/>
      <c r="AC123" s="63"/>
      <c r="AD123" s="58"/>
    </row>
    <row r="124" spans="7:30">
      <c r="G124" s="30"/>
      <c r="H124" s="29"/>
      <c r="K124" s="56"/>
      <c r="L124" s="57"/>
      <c r="M124" s="5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48"/>
      <c r="Y124" s="58"/>
      <c r="Z124" s="58"/>
      <c r="AA124" s="58"/>
      <c r="AB124" s="58"/>
      <c r="AC124" s="63"/>
      <c r="AD124" s="58"/>
    </row>
    <row r="125" spans="7:30">
      <c r="G125" s="30"/>
      <c r="H125" s="30"/>
      <c r="K125" s="56"/>
      <c r="L125" s="57"/>
      <c r="M125" s="57"/>
      <c r="N125" s="58"/>
      <c r="O125" s="58"/>
      <c r="P125" s="58"/>
      <c r="Q125" s="58"/>
      <c r="R125" s="59"/>
      <c r="S125" s="58"/>
      <c r="T125" s="58"/>
      <c r="U125" s="58"/>
      <c r="V125" s="58"/>
      <c r="W125" s="58"/>
      <c r="X125" s="24"/>
      <c r="Y125" s="58"/>
      <c r="Z125" s="59"/>
      <c r="AA125" s="58"/>
      <c r="AB125" s="58"/>
      <c r="AC125" s="63"/>
      <c r="AD125" s="58"/>
    </row>
    <row r="126" spans="7:30">
      <c r="G126" s="30"/>
      <c r="H126" s="29"/>
      <c r="K126" s="56"/>
      <c r="L126" s="57"/>
      <c r="M126" s="5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25"/>
      <c r="Y126" s="58"/>
      <c r="Z126" s="58"/>
      <c r="AA126" s="58"/>
      <c r="AB126" s="58"/>
      <c r="AC126" s="63"/>
      <c r="AD126" s="60"/>
    </row>
    <row r="127" spans="7:30">
      <c r="G127" s="30"/>
      <c r="H127" s="30"/>
      <c r="K127" s="56"/>
      <c r="L127" s="57"/>
      <c r="M127" s="57"/>
      <c r="N127" s="58"/>
      <c r="O127" s="58"/>
      <c r="P127" s="58"/>
      <c r="Q127" s="58"/>
      <c r="R127" s="59"/>
      <c r="S127" s="58"/>
      <c r="T127" s="58"/>
      <c r="U127" s="58"/>
      <c r="V127" s="58"/>
      <c r="W127" s="58"/>
      <c r="X127" s="25"/>
      <c r="Y127" s="58"/>
      <c r="Z127" s="59"/>
      <c r="AA127" s="58"/>
      <c r="AB127" s="58"/>
      <c r="AC127" s="63"/>
      <c r="AD127" s="58"/>
    </row>
    <row r="128" spans="7:30">
      <c r="G128" s="30"/>
      <c r="H128" s="30"/>
      <c r="K128" s="56"/>
      <c r="L128" s="57"/>
      <c r="M128" s="5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25"/>
      <c r="Y128" s="58"/>
      <c r="Z128" s="58"/>
      <c r="AA128" s="58"/>
      <c r="AB128" s="58"/>
      <c r="AC128" s="63"/>
      <c r="AD128" s="60"/>
    </row>
    <row r="129" spans="7:30">
      <c r="G129" s="30"/>
      <c r="H129" s="30"/>
      <c r="K129" s="56"/>
      <c r="L129" s="57"/>
      <c r="M129" s="5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25"/>
      <c r="Y129" s="58"/>
      <c r="Z129" s="58"/>
      <c r="AA129" s="58"/>
      <c r="AB129" s="58"/>
      <c r="AC129" s="63"/>
      <c r="AD129" s="58"/>
    </row>
    <row r="130" spans="7:30">
      <c r="G130" s="30"/>
      <c r="H130" s="30"/>
      <c r="K130" s="56"/>
      <c r="L130" s="57"/>
      <c r="M130" s="5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25"/>
      <c r="Y130" s="58"/>
      <c r="Z130" s="58"/>
      <c r="AA130" s="58"/>
      <c r="AB130" s="58"/>
      <c r="AC130" s="63"/>
      <c r="AD130" s="58"/>
    </row>
    <row r="131" spans="7:30">
      <c r="G131" s="30"/>
      <c r="H131" s="30"/>
      <c r="K131" s="56"/>
      <c r="L131" s="57"/>
      <c r="M131" s="5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25"/>
      <c r="Y131" s="58"/>
      <c r="Z131" s="58"/>
      <c r="AA131" s="58"/>
      <c r="AB131" s="58"/>
      <c r="AC131" s="63"/>
      <c r="AD131" s="58"/>
    </row>
    <row r="132" spans="7:30">
      <c r="G132" s="30"/>
      <c r="H132" s="30"/>
      <c r="K132" s="62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5"/>
      <c r="Y132" s="20"/>
      <c r="Z132" s="20"/>
      <c r="AA132" s="20"/>
      <c r="AB132" s="20"/>
      <c r="AC132" s="20"/>
      <c r="AD132" s="20"/>
    </row>
    <row r="133" spans="7:30">
      <c r="G133" s="31"/>
      <c r="H133" s="30"/>
      <c r="X133" s="25"/>
    </row>
    <row r="134" spans="7:30">
      <c r="H134" s="30"/>
      <c r="X134" s="25"/>
    </row>
    <row r="135" spans="7:30">
      <c r="H135" s="30"/>
      <c r="X135" s="25"/>
    </row>
    <row r="136" spans="7:30">
      <c r="H136" s="30"/>
      <c r="X136" s="25"/>
    </row>
    <row r="137" spans="7:30">
      <c r="H137" s="30"/>
      <c r="X137" s="25"/>
    </row>
    <row r="138" spans="7:30">
      <c r="H138" s="30"/>
      <c r="X138" s="25"/>
    </row>
    <row r="139" spans="7:30">
      <c r="H139" s="30"/>
      <c r="X139" s="25"/>
    </row>
    <row r="140" spans="7:30">
      <c r="H140" s="30"/>
      <c r="X140" s="25"/>
    </row>
    <row r="141" spans="7:30">
      <c r="H141" s="30"/>
      <c r="X141" s="25"/>
    </row>
    <row r="142" spans="7:30">
      <c r="H142" s="30"/>
      <c r="X142" s="25"/>
    </row>
    <row r="143" spans="7:30">
      <c r="H143" s="30"/>
      <c r="X143" s="25"/>
    </row>
    <row r="144" spans="7:30">
      <c r="H144" s="30"/>
      <c r="X144" s="25"/>
    </row>
    <row r="145" spans="8:24">
      <c r="H145" s="30"/>
      <c r="X145" s="25"/>
    </row>
    <row r="146" spans="8:24">
      <c r="H146" s="30"/>
      <c r="X146" s="25"/>
    </row>
    <row r="147" spans="8:24">
      <c r="H147" s="30"/>
      <c r="X147" s="25"/>
    </row>
    <row r="148" spans="8:24">
      <c r="H148" s="30"/>
      <c r="X148" s="25"/>
    </row>
    <row r="149" spans="8:24">
      <c r="H149" s="30"/>
      <c r="X149" s="24"/>
    </row>
    <row r="150" spans="8:24">
      <c r="H150" s="30"/>
      <c r="X150" s="25"/>
    </row>
    <row r="151" spans="8:24">
      <c r="H151" s="30"/>
      <c r="X151" s="25"/>
    </row>
    <row r="152" spans="8:24">
      <c r="H152" s="30"/>
      <c r="X152" s="8"/>
    </row>
    <row r="153" spans="8:24">
      <c r="H153" s="30"/>
      <c r="X153" s="25"/>
    </row>
    <row r="154" spans="8:24">
      <c r="H154" s="30"/>
      <c r="X154" s="25"/>
    </row>
    <row r="155" spans="8:24">
      <c r="H155" s="29"/>
      <c r="X155" s="25"/>
    </row>
    <row r="156" spans="8:24">
      <c r="H156" s="30"/>
      <c r="X156" s="25"/>
    </row>
    <row r="157" spans="8:24">
      <c r="H157" s="30"/>
      <c r="X157" s="25"/>
    </row>
    <row r="158" spans="8:24">
      <c r="H158" s="30"/>
      <c r="X158" s="25"/>
    </row>
    <row r="159" spans="8:24">
      <c r="H159" s="30"/>
      <c r="X159" s="25"/>
    </row>
    <row r="160" spans="8:24">
      <c r="H160" s="30"/>
    </row>
    <row r="161" spans="8:8">
      <c r="H161" s="30"/>
    </row>
    <row r="162" spans="8:8">
      <c r="H162" s="30"/>
    </row>
    <row r="163" spans="8:8">
      <c r="H163" s="30"/>
    </row>
    <row r="164" spans="8:8">
      <c r="H164" s="30"/>
    </row>
    <row r="165" spans="8:8">
      <c r="H165" s="30"/>
    </row>
    <row r="166" spans="8:8">
      <c r="H166" s="30"/>
    </row>
    <row r="167" spans="8:8">
      <c r="H167" s="29"/>
    </row>
    <row r="168" spans="8:8">
      <c r="H168" s="30"/>
    </row>
    <row r="169" spans="8:8">
      <c r="H169" s="29"/>
    </row>
    <row r="170" spans="8:8">
      <c r="H170" s="30"/>
    </row>
    <row r="171" spans="8:8">
      <c r="H171" s="30"/>
    </row>
    <row r="172" spans="8:8">
      <c r="H172" s="30"/>
    </row>
    <row r="173" spans="8:8">
      <c r="H173" s="30"/>
    </row>
    <row r="174" spans="8:8">
      <c r="H174" s="30"/>
    </row>
    <row r="175" spans="8:8">
      <c r="H175" s="30"/>
    </row>
    <row r="176" spans="8:8">
      <c r="H176" s="30"/>
    </row>
    <row r="177" spans="8:8">
      <c r="H177" s="30"/>
    </row>
    <row r="178" spans="8:8">
      <c r="H178" s="30"/>
    </row>
    <row r="179" spans="8:8">
      <c r="H179" s="30"/>
    </row>
    <row r="180" spans="8:8">
      <c r="H180" s="30"/>
    </row>
    <row r="181" spans="8:8">
      <c r="H181" s="30"/>
    </row>
    <row r="182" spans="8:8">
      <c r="H182" s="29"/>
    </row>
    <row r="183" spans="8:8">
      <c r="H183" s="30"/>
    </row>
    <row r="184" spans="8:8">
      <c r="H184" s="30"/>
    </row>
    <row r="185" spans="8:8">
      <c r="H185" s="30"/>
    </row>
    <row r="186" spans="8:8">
      <c r="H186" s="30"/>
    </row>
    <row r="187" spans="8:8">
      <c r="H187" s="30"/>
    </row>
    <row r="188" spans="8:8">
      <c r="H188" s="30"/>
    </row>
    <row r="189" spans="8:8">
      <c r="H189" s="30"/>
    </row>
    <row r="190" spans="8:8">
      <c r="H190" s="30"/>
    </row>
    <row r="191" spans="8:8">
      <c r="H191" s="30"/>
    </row>
    <row r="192" spans="8:8">
      <c r="H192" s="30"/>
    </row>
    <row r="193" spans="8:8">
      <c r="H193" s="30"/>
    </row>
    <row r="194" spans="8:8">
      <c r="H194" s="29"/>
    </row>
    <row r="195" spans="8:8">
      <c r="H195" s="30"/>
    </row>
    <row r="196" spans="8:8">
      <c r="H196" s="29"/>
    </row>
    <row r="197" spans="8:8">
      <c r="H197" s="30"/>
    </row>
    <row r="198" spans="8:8">
      <c r="H198" s="30"/>
    </row>
    <row r="199" spans="8:8">
      <c r="H199" s="30"/>
    </row>
    <row r="200" spans="8:8">
      <c r="H200" s="30"/>
    </row>
    <row r="201" spans="8:8">
      <c r="H201" s="30"/>
    </row>
    <row r="202" spans="8:8">
      <c r="H202" s="30"/>
    </row>
    <row r="203" spans="8:8">
      <c r="H203" s="30"/>
    </row>
    <row r="204" spans="8:8">
      <c r="H204" s="30"/>
    </row>
    <row r="205" spans="8:8">
      <c r="H205" s="30"/>
    </row>
    <row r="206" spans="8:8">
      <c r="H206" s="30"/>
    </row>
    <row r="207" spans="8:8">
      <c r="H207" s="30"/>
    </row>
    <row r="208" spans="8:8">
      <c r="H208" s="30"/>
    </row>
    <row r="209" spans="4:8">
      <c r="H209" s="30"/>
    </row>
    <row r="210" spans="4:8">
      <c r="D210" s="29"/>
      <c r="H210" s="30"/>
    </row>
    <row r="211" spans="4:8">
      <c r="D211" s="30"/>
      <c r="H211" s="30"/>
    </row>
    <row r="212" spans="4:8">
      <c r="D212" s="30"/>
      <c r="H212" s="30"/>
    </row>
    <row r="213" spans="4:8">
      <c r="D213" s="30"/>
      <c r="H213" s="30"/>
    </row>
    <row r="214" spans="4:8">
      <c r="D214" s="30"/>
      <c r="H214" s="30"/>
    </row>
    <row r="215" spans="4:8">
      <c r="D215" s="30"/>
      <c r="H215" s="30"/>
    </row>
    <row r="216" spans="4:8">
      <c r="D216" s="30"/>
      <c r="H216" s="30"/>
    </row>
    <row r="217" spans="4:8">
      <c r="D217" s="30"/>
      <c r="H217" s="30"/>
    </row>
    <row r="218" spans="4:8">
      <c r="D218" s="30"/>
      <c r="H218" s="30"/>
    </row>
    <row r="219" spans="4:8">
      <c r="D219" s="30"/>
      <c r="H219" s="30"/>
    </row>
    <row r="220" spans="4:8">
      <c r="D220" s="30"/>
      <c r="H220" s="30"/>
    </row>
    <row r="221" spans="4:8">
      <c r="D221" s="30"/>
      <c r="H221" s="30"/>
    </row>
    <row r="222" spans="4:8">
      <c r="D222" s="29"/>
      <c r="H222" s="30"/>
    </row>
    <row r="223" spans="4:8">
      <c r="D223" s="30"/>
      <c r="H223" s="30"/>
    </row>
    <row r="224" spans="4:8">
      <c r="D224" s="29"/>
      <c r="H224" s="30"/>
    </row>
    <row r="225" spans="4:8">
      <c r="D225" s="30"/>
      <c r="H225" s="30"/>
    </row>
    <row r="226" spans="4:8">
      <c r="D226" s="30"/>
      <c r="H226" s="30"/>
    </row>
    <row r="227" spans="4:8">
      <c r="D227" s="30"/>
      <c r="H227" s="30"/>
    </row>
    <row r="228" spans="4:8">
      <c r="D228" s="30"/>
    </row>
    <row r="229" spans="4:8">
      <c r="D229" s="30"/>
    </row>
    <row r="230" spans="4:8">
      <c r="D230" s="30"/>
    </row>
    <row r="231" spans="4:8">
      <c r="D231" s="30"/>
    </row>
    <row r="232" spans="4:8">
      <c r="D232" s="30"/>
    </row>
    <row r="233" spans="4:8">
      <c r="D233" s="30"/>
    </row>
    <row r="234" spans="4:8">
      <c r="D234" s="30"/>
    </row>
    <row r="235" spans="4:8">
      <c r="D235" s="30"/>
    </row>
    <row r="236" spans="4:8">
      <c r="D236" s="30"/>
    </row>
    <row r="237" spans="4:8">
      <c r="D237" s="30"/>
    </row>
    <row r="238" spans="4:8">
      <c r="D238" s="30"/>
    </row>
    <row r="239" spans="4:8">
      <c r="D239" s="30"/>
    </row>
    <row r="240" spans="4:8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</sheetData>
  <mergeCells count="1">
    <mergeCell ref="J116:K116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Sheet3!Print_Area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pc-52</dc:creator>
  <cp:lastModifiedBy>Windows User</cp:lastModifiedBy>
  <cp:lastPrinted>2020-06-10T16:41:55Z</cp:lastPrinted>
  <dcterms:created xsi:type="dcterms:W3CDTF">1996-10-14T23:33:28Z</dcterms:created>
  <dcterms:modified xsi:type="dcterms:W3CDTF">2020-06-10T17:22:48Z</dcterms:modified>
</cp:coreProperties>
</file>